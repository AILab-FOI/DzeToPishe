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ute" sheetId="1" state="visible" r:id="rId3"/>
    <sheet name="Pravni ekspert" sheetId="2" state="visible" r:id="rId4"/>
    <sheet name="Vojni evaluator 1" sheetId="3" state="visible" r:id="rId5"/>
    <sheet name="Vojni evaluator 2" sheetId="4" state="visible" r:id="rId6"/>
    <sheet name="Automatske metrike" sheetId="5" state="visible" r:id="rId7"/>
    <sheet name="Analiz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<sst xmlns="http://schemas.openxmlformats.org/spreadsheetml/2006/main" count="149" uniqueCount="90">
  <si>
    <t xml:space="preserve">OBRAZAC ZA EVALUACIJU CHATBOTA
Vojno zakonodavstvo · Verzija 1.0</t>
  </si>
  <si>
    <t xml:space="preserve">SVRHA</t>
  </si>
  <si>
    <t xml:space="preserve">Ovaj obrazac koristi se za strukturiranu evaluaciju chatbota koji odgovara na pitanja iz područja vojnog zakonodavstva. Svaki evaluator samostalno ocjenjuje odgovore chatbota uspoređujući ih s odgovorima eksperta (zlatni standard).</t>
  </si>
  <si>
    <t xml:space="preserve">DIMENZIJE OCJENJIVANJA</t>
  </si>
  <si>
    <t xml:space="preserve">Dimenzija</t>
  </si>
  <si>
    <t xml:space="preserve">Opis</t>
  </si>
  <si>
    <t xml:space="preserve">Primarni evaluator</t>
  </si>
  <si>
    <t xml:space="preserve">Pravna točnost</t>
  </si>
  <si>
    <t xml:space="preserve">Ispravnost citiranja zakona, članaka i propisa</t>
  </si>
  <si>
    <t xml:space="preserve">Pravni ekspert + Vojni</t>
  </si>
  <si>
    <t xml:space="preserve">Citiranje propisa</t>
  </si>
  <si>
    <t xml:space="preserve">Točnost navođenja specifičnih zakona, broj članaka i stavaka</t>
  </si>
  <si>
    <t xml:space="preserve">Praktična primjenjivost</t>
  </si>
  <si>
    <t xml:space="preserve">Korisnost odgovora u stvarnoj vojnoj situaciji</t>
  </si>
  <si>
    <t xml:space="preserve">Vojni evaluatori</t>
  </si>
  <si>
    <t xml:space="preserve">Potpunost odgovora</t>
  </si>
  <si>
    <t xml:space="preserve">Obuhvaća li odgovor sve relevantne aspekte pitanja</t>
  </si>
  <si>
    <t xml:space="preserve">Svi evaluatori</t>
  </si>
  <si>
    <t xml:space="preserve">Jasnoća</t>
  </si>
  <si>
    <t xml:space="preserve">Razumljivost i preciznost formulacije odgovora</t>
  </si>
  <si>
    <t xml:space="preserve">SKALA OCJENJIVANJA (1–5)</t>
  </si>
  <si>
    <t xml:space="preserve">Ocjena</t>
  </si>
  <si>
    <t xml:space="preserve">Oznaka</t>
  </si>
  <si>
    <t xml:space="preserve">Nedovoljno</t>
  </si>
  <si>
    <t xml:space="preserve">Odgovor je faktično netočan, citira pogrešne zakone ili je potpuno neprimjenjiv</t>
  </si>
  <si>
    <t xml:space="preserve">Slabo</t>
  </si>
  <si>
    <t xml:space="preserve">Odgovor je djelomično točan ali sadrži značajne pravne pogreške</t>
  </si>
  <si>
    <t xml:space="preserve">Prosječno</t>
  </si>
  <si>
    <t xml:space="preserve">Odgovor je uglavnom točan ali nepotpun ili nedovoljno precizan</t>
  </si>
  <si>
    <t xml:space="preserve">Dobro</t>
  </si>
  <si>
    <t xml:space="preserve">Odgovor je točan i primjenjiv uz manje nedostatke</t>
  </si>
  <si>
    <t xml:space="preserve">Izvrsno</t>
  </si>
  <si>
    <t xml:space="preserve">Odgovor je potpuno točan, precizno citira propise i praktično primjenjiv</t>
  </si>
  <si>
    <t xml:space="preserve">UPUTE ZA KORIŠTENJE</t>
  </si>
  <si>
    <t xml:space="preserve">1. Otvorite list s vašom ulogom (Pravni ekspert, Vojni evaluator 1 ili Vojni evaluator 2).</t>
  </si>
  <si>
    <t xml:space="preserve">2. Unesite vaše ime i datum u zaglavlje obrasca.</t>
  </si>
  <si>
    <t xml:space="preserve">3. Za svako od 31 pitanja unesite pitanje, odgovor eksperta i odgovor chatbota (ili kopirajte iz izvora).</t>
  </si>
  <si>
    <t xml:space="preserve">4. Ocjenite svaku dimenziju odabirom broja 1–5 iz padajućeg izbornika.</t>
  </si>
  <si>
    <t xml:space="preserve">5. Obavezno unesite komentar za sve ocjene 1 ili 2.</t>
  </si>
  <si>
    <t xml:space="preserve">6. Nakon završetka, pogledajte list 'Analiza' za automatski izračun rezultata.</t>
  </si>
  <si>
    <t xml:space="preserve">7. Evaluatori rade NEOVISNO – ne konzultirajte se prije završetka ocjenjivanja.</t>
  </si>
  <si>
    <t xml:space="preserve">EVALUACIJA CHATBOTA – PRAVNI EKSPERT</t>
  </si>
  <si>
    <t xml:space="preserve">Ime evaluatora:</t>
  </si>
  <si>
    <t xml:space="preserve">Datum:</t>
  </si>
  <si>
    <t xml:space="preserve">Chatbot:</t>
  </si>
  <si>
    <t xml:space="preserve">Uloga:</t>
  </si>
  <si>
    <t xml:space="preserve">Pravni ekspert</t>
  </si>
  <si>
    <t xml:space="preserve">Br.</t>
  </si>
  <si>
    <t xml:space="preserve">Pitanje</t>
  </si>
  <si>
    <t xml:space="preserve">Odgovor eksperta
(zlatni standard)</t>
  </si>
  <si>
    <t xml:space="preserve">Odgovor chatbota</t>
  </si>
  <si>
    <t xml:space="preserve">Prosječna
ocjena</t>
  </si>
  <si>
    <t xml:space="preserve">Komentar
(obavezno za ocj. 1-2)</t>
  </si>
  <si>
    <t xml:space="preserve">PROSJEK PO DIMENZIJI</t>
  </si>
  <si>
    <t xml:space="preserve">EVALUACIJA CHATBOTA – VOJNI EVALUATOR 1</t>
  </si>
  <si>
    <t xml:space="preserve">Vojni evaluator 1</t>
  </si>
  <si>
    <t xml:space="preserve">EVALUACIJA CHATBOTA – VOJNI EVALUATOR 2</t>
  </si>
  <si>
    <t xml:space="preserve">Vojni evaluator 2</t>
  </si>
  <si>
    <t xml:space="preserve">AUTOMATSKE METRIKE – IMPORT IZ COLAB</t>
  </si>
  <si>
    <t xml:space="preserve">⚠  Ručno zalijepite CSV izvoz iz Colab notebooka (Pitanje br. | ROUGE-L | BERTScore F1 | Cosine similarity). Stupci F, G, H.</t>
  </si>
  <si>
    <t xml:space="preserve">ROUGE-L
(0–1)</t>
  </si>
  <si>
    <t xml:space="preserve">BERTScore F1
(0–1)</t>
  </si>
  <si>
    <t xml:space="preserve">Cosine similarity
(0–1)</t>
  </si>
  <si>
    <t xml:space="preserve">Prosjek
autom. metrika</t>
  </si>
  <si>
    <t xml:space="preserve">PROSJEK PO METRICI</t>
  </si>
  <si>
    <t xml:space="preserve">ANALIZA REZULTATA EVALUACIJE</t>
  </si>
  <si>
    <t xml:space="preserve">PROSJEČNE OCJENE PO DIMENZIJI</t>
  </si>
  <si>
    <t xml:space="preserve">Vojni eval. 1</t>
  </si>
  <si>
    <t xml:space="preserve">Vojni eval. 2</t>
  </si>
  <si>
    <t xml:space="preserve">Prosjek vojnih</t>
  </si>
  <si>
    <t xml:space="preserve">Ukupni prosjek</t>
  </si>
  <si>
    <t xml:space="preserve">UKUPNI PROSJEK</t>
  </si>
  <si>
    <t xml:space="preserve">SLAGANJE VOJNIH EVALUATORA (po dimenziji)</t>
  </si>
  <si>
    <t xml:space="preserve">Razlika</t>
  </si>
  <si>
    <t xml:space="preserve">Napomena</t>
  </si>
  <si>
    <t xml:space="preserve">AUTOMATSKE METRIKE – PROSJECI</t>
  </si>
  <si>
    <t xml:space="preserve">Metrika</t>
  </si>
  <si>
    <t xml:space="preserve">Prosjek (sva pitanja)</t>
  </si>
  <si>
    <t xml:space="preserve">Min</t>
  </si>
  <si>
    <t xml:space="preserve">Max</t>
  </si>
  <si>
    <t xml:space="preserve">Interpretacija</t>
  </si>
  <si>
    <t xml:space="preserve">ROUGE-L</t>
  </si>
  <si>
    <t xml:space="preserve">&gt;0.4 dobro za pravni tekst</t>
  </si>
  <si>
    <t xml:space="preserve">BERTScore F1</t>
  </si>
  <si>
    <t xml:space="preserve">&gt;0.85 odličan semantički poklapaj</t>
  </si>
  <si>
    <t xml:space="preserve">Cosine similarity</t>
  </si>
  <si>
    <t xml:space="preserve">&gt;0.75 visoka semantička sličnost</t>
  </si>
  <si>
    <t xml:space="preserve">Prosjek metrika</t>
  </si>
  <si>
    <t xml:space="preserve">Ukupna automatska ocjena</t>
  </si>
  <si>
    <t xml:space="preserve">Napomena: Korelaciju između automatskih metrika i ljudskih ocjena preporučujemo izračunati u Pythonu (scipy.stats.pearsonr / spearmanr) nakon završetka svih evaluacija.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</si>
</sst>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7B3F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</fonts>
  <fills count="21">
    <fill>
      <patternFill patternType="none"/>
    </fill>
    <fill>
      <patternFill patternType="gray125"/>
    </fill>
    <fill>
      <patternFill patternType="solid">
        <fgColor rgb="FF1F3864"/>
        <bgColor rgb="FF4B2882"/>
      </patternFill>
    </fill>
    <fill>
      <patternFill patternType="solid">
        <fgColor rgb="FF2E5597"/>
        <bgColor rgb="FF1F5C8B"/>
      </patternFill>
    </fill>
    <fill>
      <patternFill patternType="solid">
        <fgColor rgb="FFFFFFFF"/>
        <bgColor rgb="FFF2F2F2"/>
      </patternFill>
    </fill>
    <fill>
      <patternFill patternType="solid">
        <fgColor rgb="FFD6E4F7"/>
        <bgColor rgb="FFEDE7F6"/>
      </patternFill>
    </fill>
    <fill>
      <patternFill patternType="solid">
        <fgColor rgb="FF9C2B1B"/>
        <bgColor rgb="FF7B3F00"/>
      </patternFill>
    </fill>
    <fill>
      <patternFill patternType="solid">
        <fgColor rgb="FFE97132"/>
        <bgColor rgb="FFFF8080"/>
      </patternFill>
    </fill>
    <fill>
      <patternFill patternType="solid">
        <fgColor rgb="FFC9A84C"/>
        <bgColor rgb="FFC0C0C0"/>
      </patternFill>
    </fill>
    <fill>
      <patternFill patternType="solid">
        <fgColor rgb="FF70AD47"/>
        <bgColor rgb="FF339966"/>
      </patternFill>
    </fill>
    <fill>
      <patternFill patternType="solid">
        <fgColor rgb="FF375623"/>
        <bgColor rgb="FF2D6A4F"/>
      </patternFill>
    </fill>
    <fill>
      <patternFill patternType="solid">
        <fgColor rgb="FFF2F2F2"/>
        <bgColor rgb="FFEDE7F6"/>
      </patternFill>
    </fill>
    <fill>
      <patternFill patternType="solid">
        <fgColor rgb="FFFEF3D0"/>
        <bgColor rgb="FFFFF3E0"/>
      </patternFill>
    </fill>
    <fill>
      <patternFill patternType="solid">
        <fgColor rgb="FF1F5C8B"/>
        <bgColor rgb="FF2E5597"/>
      </patternFill>
    </fill>
    <fill>
      <patternFill patternType="solid">
        <fgColor rgb="FF2D6A4F"/>
        <bgColor rgb="FF0D6B6E"/>
      </patternFill>
    </fill>
    <fill>
      <patternFill patternType="solid">
        <fgColor rgb="FF4B2882"/>
        <bgColor rgb="FF1F3864"/>
      </patternFill>
    </fill>
    <fill>
      <patternFill patternType="solid">
        <fgColor rgb="FFFFF3E0"/>
        <bgColor rgb="FFFEF3D0"/>
      </patternFill>
    </fill>
    <fill>
      <patternFill patternType="solid">
        <fgColor rgb="FF0D6B6E"/>
        <bgColor rgb="FF1F5C8B"/>
      </patternFill>
    </fill>
    <fill>
      <patternFill patternType="solid">
        <fgColor rgb="FF7B3F00"/>
        <bgColor rgb="FF9C2B1B"/>
      </patternFill>
    </fill>
    <fill>
      <patternFill patternType="solid">
        <fgColor rgb="FFEDE7F6"/>
        <bgColor rgb="FFF2F2F2"/>
      </patternFill>
    </fill>
    <fill>
      <patternFill patternType="solid">
        <fgColor rgb="FFE0F4F4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6B6E"/>
      <rgbColor rgb="FFC0C0C0"/>
      <rgbColor rgb="FF808080"/>
      <rgbColor rgb="FF9999FF"/>
      <rgbColor rgb="FF7B3F00"/>
      <rgbColor rgb="FFFEF3D0"/>
      <rgbColor rgb="FFE0F4F4"/>
      <rgbColor rgb="FF660066"/>
      <rgbColor rgb="FFFF8080"/>
      <rgbColor rgb="FF1F5C8B"/>
      <rgbColor rgb="FFD6E4F7"/>
      <rgbColor rgb="FF000080"/>
      <rgbColor rgb="FFFF00FF"/>
      <rgbColor rgb="FFFFFF00"/>
      <rgbColor rgb="FF00FFFF"/>
      <rgbColor rgb="FF800080"/>
      <rgbColor rgb="FF800000"/>
      <rgbColor rgb="FF2D6A4F"/>
      <rgbColor rgb="FF0000FF"/>
      <rgbColor rgb="FF00CCFF"/>
      <rgbColor rgb="FFF2F2F2"/>
      <rgbColor rgb="FFEDE7F6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84C"/>
      <rgbColor rgb="FFE97132"/>
      <rgbColor rgb="FF2E5597"/>
      <rgbColor rgb="FF70AD47"/>
      <rgbColor rgb="FF1F3864"/>
      <rgbColor rgb="FF339966"/>
      <rgbColor rgb="FF003300"/>
      <rgbColor rgb="FF333300"/>
      <rgbColor rgb="FF9C2B1B"/>
      <rgbColor rgb="FF993366"/>
      <rgbColor rgb="FF4B2882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52"/>
    <col collapsed="false" customWidth="true" hidden="false" outlineLevel="0" max="4" min="4" style="1" width="18"/>
  </cols>
  <sheetData>
    <row r="2" customFormat="false" ht="37.5" hidden="false" customHeight="true" outlineLevel="0" collapsed="false">
      <c r="B2" s="2" t="s">
        <v>0</v>
      </c>
      <c r="C2" s="2"/>
      <c r="D2" s="2"/>
    </row>
    <row r="4" customFormat="false" ht="19.5" hidden="false" customHeight="true" outlineLevel="0" collapsed="false">
      <c r="B4" s="3" t="s">
        <v>1</v>
      </c>
    </row>
    <row r="5" customFormat="false" ht="54.75" hidden="false" customHeight="true" outlineLevel="0" collapsed="false">
      <c r="B5" s="4" t="s">
        <v>2</v>
      </c>
      <c r="C5" s="4"/>
      <c r="D5" s="4"/>
    </row>
    <row r="7" customFormat="false" ht="21.75" hidden="false" customHeight="true" outlineLevel="0" collapsed="false">
      <c r="B7" s="5" t="s">
        <v>3</v>
      </c>
      <c r="C7" s="5"/>
      <c r="D7" s="5"/>
    </row>
    <row r="8" customFormat="false" ht="15" hidden="false" customHeight="true" outlineLevel="0" collapsed="false">
      <c r="B8" s="6" t="s">
        <v>4</v>
      </c>
      <c r="C8" s="6" t="s">
        <v>5</v>
      </c>
      <c r="D8" s="6" t="s">
        <v>6</v>
      </c>
    </row>
    <row r="9" customFormat="false" ht="30" hidden="false" customHeight="true" outlineLevel="0" collapsed="false">
      <c r="B9" s="7" t="s">
        <v>7</v>
      </c>
      <c r="C9" s="8" t="s">
        <v>8</v>
      </c>
      <c r="D9" s="8" t="s">
        <v>9</v>
      </c>
    </row>
    <row r="10" customFormat="false" ht="30" hidden="false" customHeight="true" outlineLevel="0" collapsed="false">
      <c r="B10" s="9" t="s">
        <v>10</v>
      </c>
      <c r="C10" s="10" t="s">
        <v>11</v>
      </c>
      <c r="D10" s="10" t="s">
        <v>9</v>
      </c>
    </row>
    <row r="11" customFormat="false" ht="30" hidden="false" customHeight="true" outlineLevel="0" collapsed="false">
      <c r="B11" s="7" t="s">
        <v>12</v>
      </c>
      <c r="C11" s="8" t="s">
        <v>13</v>
      </c>
      <c r="D11" s="8" t="s">
        <v>14</v>
      </c>
    </row>
    <row r="12" customFormat="false" ht="30" hidden="false" customHeight="true" outlineLevel="0" collapsed="false">
      <c r="B12" s="9" t="s">
        <v>15</v>
      </c>
      <c r="C12" s="10" t="s">
        <v>16</v>
      </c>
      <c r="D12" s="10" t="s">
        <v>17</v>
      </c>
    </row>
    <row r="13" customFormat="false" ht="30" hidden="false" customHeight="true" outlineLevel="0" collapsed="false">
      <c r="B13" s="7" t="s">
        <v>18</v>
      </c>
      <c r="C13" s="8" t="s">
        <v>19</v>
      </c>
      <c r="D13" s="8" t="s">
        <v>17</v>
      </c>
    </row>
    <row r="15" customFormat="false" ht="21.75" hidden="false" customHeight="true" outlineLevel="0" collapsed="false">
      <c r="B15" s="5" t="s">
        <v>20</v>
      </c>
      <c r="C15" s="5"/>
      <c r="D15" s="5"/>
    </row>
    <row r="16" customFormat="false" ht="15" hidden="false" customHeight="true" outlineLevel="0" collapsed="false">
      <c r="B16" s="6" t="s">
        <v>21</v>
      </c>
      <c r="C16" s="6" t="s">
        <v>22</v>
      </c>
      <c r="D16" s="6" t="s">
        <v>5</v>
      </c>
    </row>
    <row r="17" customFormat="false" ht="30" hidden="false" customHeight="true" outlineLevel="0" collapsed="false">
      <c r="B17" s="11" t="n">
        <v>1</v>
      </c>
      <c r="C17" s="11" t="s">
        <v>23</v>
      </c>
      <c r="D17" s="12" t="s">
        <v>24</v>
      </c>
    </row>
    <row r="18" customFormat="false" ht="30" hidden="false" customHeight="true" outlineLevel="0" collapsed="false">
      <c r="B18" s="13" t="n">
        <v>2</v>
      </c>
      <c r="C18" s="13" t="s">
        <v>25</v>
      </c>
      <c r="D18" s="14" t="s">
        <v>26</v>
      </c>
    </row>
    <row r="19" customFormat="false" ht="30" hidden="false" customHeight="true" outlineLevel="0" collapsed="false">
      <c r="B19" s="15" t="n">
        <v>3</v>
      </c>
      <c r="C19" s="15" t="s">
        <v>27</v>
      </c>
      <c r="D19" s="16" t="s">
        <v>28</v>
      </c>
    </row>
    <row r="20" customFormat="false" ht="30" hidden="false" customHeight="true" outlineLevel="0" collapsed="false">
      <c r="B20" s="17" t="n">
        <v>4</v>
      </c>
      <c r="C20" s="17" t="s">
        <v>29</v>
      </c>
      <c r="D20" s="18" t="s">
        <v>30</v>
      </c>
    </row>
    <row r="21" customFormat="false" ht="30" hidden="false" customHeight="true" outlineLevel="0" collapsed="false">
      <c r="B21" s="19" t="n">
        <v>5</v>
      </c>
      <c r="C21" s="19" t="s">
        <v>31</v>
      </c>
      <c r="D21" s="20" t="s">
        <v>32</v>
      </c>
    </row>
    <row r="23" customFormat="false" ht="21.75" hidden="false" customHeight="true" outlineLevel="0" collapsed="false">
      <c r="B23" s="5" t="s">
        <v>33</v>
      </c>
      <c r="C23" s="5"/>
      <c r="D23" s="5"/>
    </row>
    <row r="24" customFormat="false" ht="21.75" hidden="false" customHeight="true" outlineLevel="0" collapsed="false">
      <c r="B24" s="21" t="s">
        <v>34</v>
      </c>
      <c r="C24" s="21"/>
      <c r="D24" s="21"/>
    </row>
    <row r="25" customFormat="false" ht="21.75" hidden="false" customHeight="true" outlineLevel="0" collapsed="false">
      <c r="B25" s="22" t="s">
        <v>35</v>
      </c>
      <c r="C25" s="22"/>
      <c r="D25" s="22"/>
    </row>
    <row r="26" customFormat="false" ht="21.75" hidden="false" customHeight="true" outlineLevel="0" collapsed="false">
      <c r="B26" s="21" t="s">
        <v>36</v>
      </c>
      <c r="C26" s="21"/>
      <c r="D26" s="21"/>
    </row>
    <row r="27" customFormat="false" ht="21.75" hidden="false" customHeight="true" outlineLevel="0" collapsed="false">
      <c r="B27" s="22" t="s">
        <v>37</v>
      </c>
      <c r="C27" s="22"/>
      <c r="D27" s="22"/>
    </row>
    <row r="28" customFormat="false" ht="21.75" hidden="false" customHeight="true" outlineLevel="0" collapsed="false">
      <c r="B28" s="21" t="s">
        <v>38</v>
      </c>
      <c r="C28" s="21"/>
      <c r="D28" s="21"/>
    </row>
    <row r="29" customFormat="false" ht="21.75" hidden="false" customHeight="true" outlineLevel="0" collapsed="false">
      <c r="B29" s="22" t="s">
        <v>39</v>
      </c>
      <c r="C29" s="22"/>
      <c r="D29" s="22"/>
    </row>
    <row r="30" customFormat="false" ht="21.75" hidden="false" customHeight="true" outlineLevel="0" collapsed="false">
      <c r="B30" s="21" t="s">
        <v>40</v>
      </c>
      <c r="C30" s="21"/>
      <c r="D30" s="21"/>
    </row>
  </sheetData>
  <mergeCells count="12">
    <mergeCell ref="B2:D2"/>
    <mergeCell ref="B5:D5"/>
    <mergeCell ref="B7:D7"/>
    <mergeCell ref="B15:D15"/>
    <mergeCell ref="B23:D23"/>
    <mergeCell ref="B24:D24"/>
    <mergeCell ref="B25:D25"/>
    <mergeCell ref="B26:D26"/>
    <mergeCell ref="B27:D27"/>
    <mergeCell ref="B28:D28"/>
    <mergeCell ref="B29:D29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5" min="3" style="1" width="45"/>
    <col collapsed="false" customWidth="true" hidden="false" outlineLevel="0" max="10" min="6" style="1" width="12"/>
    <col collapsed="false" customWidth="true" hidden="false" outlineLevel="0" max="11" min="11" style="1" width="35"/>
  </cols>
  <sheetData>
    <row r="1" customFormat="false" ht="12" hidden="false" customHeight="true" outlineLevel="0" collapsed="false"/>
    <row r="2" customFormat="false" ht="36" hidden="false" customHeight="true" outlineLevel="0" collapsed="false">
      <c r="B2" s="23" t="s">
        <v>41</v>
      </c>
      <c r="C2" s="23"/>
      <c r="D2" s="23"/>
      <c r="E2" s="23"/>
      <c r="F2" s="23"/>
      <c r="G2" s="23"/>
      <c r="H2" s="23"/>
      <c r="I2" s="23"/>
      <c r="J2" s="23"/>
      <c r="K2" s="23"/>
    </row>
    <row r="3" customFormat="false" ht="21.75" hidden="false" customHeight="true" outlineLevel="0" collapsed="false">
      <c r="B3" s="24" t="s">
        <v>42</v>
      </c>
      <c r="C3" s="25"/>
      <c r="D3" s="24" t="s">
        <v>43</v>
      </c>
      <c r="E3" s="25"/>
      <c r="F3" s="24" t="s">
        <v>44</v>
      </c>
      <c r="G3" s="25"/>
      <c r="H3" s="24" t="s">
        <v>45</v>
      </c>
      <c r="I3" s="25" t="s">
        <v>46</v>
      </c>
    </row>
    <row r="4" customFormat="false" ht="7.5" hidden="false" customHeight="true" outlineLevel="0" collapsed="false"/>
    <row r="5" customFormat="false" ht="49.5" hidden="false" customHeight="true" outlineLevel="0" collapsed="false">
      <c r="B5" s="26" t="s">
        <v>47</v>
      </c>
      <c r="C5" s="26" t="s">
        <v>48</v>
      </c>
      <c r="D5" s="26" t="s">
        <v>49</v>
      </c>
      <c r="E5" s="26" t="s">
        <v>50</v>
      </c>
      <c r="F5" s="27" t="s">
        <v>7</v>
      </c>
      <c r="G5" s="27" t="s">
        <v>10</v>
      </c>
      <c r="H5" s="27" t="s">
        <v>12</v>
      </c>
      <c r="I5" s="27" t="s">
        <v>15</v>
      </c>
      <c r="J5" s="27" t="s">
        <v>18</v>
      </c>
      <c r="K5" s="28" t="s">
        <v>51</v>
      </c>
      <c r="L5" s="28" t="s">
        <v>52</v>
      </c>
    </row>
    <row r="6" customFormat="false" ht="54.75" hidden="false" customHeight="true" outlineLevel="0" collapsed="false">
      <c r="B6" s="29" t="n">
        <v>1</v>
      </c>
      <c r="C6" s="8"/>
      <c r="D6" s="8"/>
      <c r="E6" s="8"/>
      <c r="F6" s="30"/>
      <c r="G6" s="30"/>
      <c r="H6" s="30"/>
      <c r="I6" s="30"/>
      <c r="J6" s="30"/>
      <c r="K6" s="31" t="str">
        <f aca="false">IFERROR(AVERAGE(F6:J6),"")</f>
        <v/>
      </c>
      <c r="L6" s="8"/>
    </row>
    <row r="7" customFormat="false" ht="54.75" hidden="false" customHeight="true" outlineLevel="0" collapsed="false">
      <c r="B7" s="32" t="n">
        <v>2</v>
      </c>
      <c r="C7" s="33"/>
      <c r="D7" s="33"/>
      <c r="E7" s="33"/>
      <c r="F7" s="30"/>
      <c r="G7" s="30"/>
      <c r="H7" s="30"/>
      <c r="I7" s="30"/>
      <c r="J7" s="30"/>
      <c r="K7" s="31" t="str">
        <f aca="false">IFERROR(AVERAGE(F7:J7),"")</f>
        <v/>
      </c>
      <c r="L7" s="33"/>
    </row>
    <row r="8" customFormat="false" ht="54.75" hidden="false" customHeight="true" outlineLevel="0" collapsed="false">
      <c r="B8" s="29" t="n">
        <v>3</v>
      </c>
      <c r="C8" s="8"/>
      <c r="D8" s="8"/>
      <c r="E8" s="8"/>
      <c r="F8" s="30"/>
      <c r="G8" s="30"/>
      <c r="H8" s="30"/>
      <c r="I8" s="30"/>
      <c r="J8" s="30"/>
      <c r="K8" s="31" t="str">
        <f aca="false">IFERROR(AVERAGE(F8:J8),"")</f>
        <v/>
      </c>
      <c r="L8" s="8"/>
    </row>
    <row r="9" customFormat="false" ht="54.75" hidden="false" customHeight="true" outlineLevel="0" collapsed="false">
      <c r="B9" s="32" t="n">
        <v>4</v>
      </c>
      <c r="C9" s="33"/>
      <c r="D9" s="33"/>
      <c r="E9" s="33"/>
      <c r="F9" s="30"/>
      <c r="G9" s="30"/>
      <c r="H9" s="30"/>
      <c r="I9" s="30"/>
      <c r="J9" s="30"/>
      <c r="K9" s="31" t="str">
        <f aca="false">IFERROR(AVERAGE(F9:J9),"")</f>
        <v/>
      </c>
      <c r="L9" s="33"/>
    </row>
    <row r="10" customFormat="false" ht="54.75" hidden="false" customHeight="true" outlineLevel="0" collapsed="false">
      <c r="B10" s="29" t="n">
        <v>5</v>
      </c>
      <c r="C10" s="8"/>
      <c r="D10" s="8"/>
      <c r="E10" s="8"/>
      <c r="F10" s="30"/>
      <c r="G10" s="30"/>
      <c r="H10" s="30"/>
      <c r="I10" s="30"/>
      <c r="J10" s="30"/>
      <c r="K10" s="31" t="str">
        <f aca="false">IFERROR(AVERAGE(F10:J10),"")</f>
        <v/>
      </c>
      <c r="L10" s="8"/>
    </row>
    <row r="11" customFormat="false" ht="54.75" hidden="false" customHeight="true" outlineLevel="0" collapsed="false">
      <c r="B11" s="32" t="n">
        <v>6</v>
      </c>
      <c r="C11" s="33"/>
      <c r="D11" s="33"/>
      <c r="E11" s="33"/>
      <c r="F11" s="30"/>
      <c r="G11" s="30"/>
      <c r="H11" s="30"/>
      <c r="I11" s="30"/>
      <c r="J11" s="30"/>
      <c r="K11" s="31" t="str">
        <f aca="false">IFERROR(AVERAGE(F11:J11),"")</f>
        <v/>
      </c>
      <c r="L11" s="33"/>
    </row>
    <row r="12" customFormat="false" ht="54.75" hidden="false" customHeight="true" outlineLevel="0" collapsed="false">
      <c r="B12" s="29" t="n">
        <v>7</v>
      </c>
      <c r="C12" s="8"/>
      <c r="D12" s="8"/>
      <c r="E12" s="8"/>
      <c r="F12" s="30"/>
      <c r="G12" s="30"/>
      <c r="H12" s="30"/>
      <c r="I12" s="30"/>
      <c r="J12" s="30"/>
      <c r="K12" s="31" t="str">
        <f aca="false">IFERROR(AVERAGE(F12:J12),"")</f>
        <v/>
      </c>
      <c r="L12" s="8"/>
    </row>
    <row r="13" customFormat="false" ht="54.75" hidden="false" customHeight="true" outlineLevel="0" collapsed="false">
      <c r="B13" s="32" t="n">
        <v>8</v>
      </c>
      <c r="C13" s="33"/>
      <c r="D13" s="33"/>
      <c r="E13" s="33"/>
      <c r="F13" s="30"/>
      <c r="G13" s="30"/>
      <c r="H13" s="30"/>
      <c r="I13" s="30"/>
      <c r="J13" s="30"/>
      <c r="K13" s="31" t="str">
        <f aca="false">IFERROR(AVERAGE(F13:J13),"")</f>
        <v/>
      </c>
      <c r="L13" s="33"/>
    </row>
    <row r="14" customFormat="false" ht="54.75" hidden="false" customHeight="true" outlineLevel="0" collapsed="false">
      <c r="B14" s="29" t="n">
        <v>9</v>
      </c>
      <c r="C14" s="8"/>
      <c r="D14" s="8"/>
      <c r="E14" s="8"/>
      <c r="F14" s="30"/>
      <c r="G14" s="30"/>
      <c r="H14" s="30"/>
      <c r="I14" s="30"/>
      <c r="J14" s="30"/>
      <c r="K14" s="31" t="str">
        <f aca="false">IFERROR(AVERAGE(F14:J14),"")</f>
        <v/>
      </c>
      <c r="L14" s="8"/>
    </row>
    <row r="15" customFormat="false" ht="54.75" hidden="false" customHeight="true" outlineLevel="0" collapsed="false">
      <c r="B15" s="32" t="n">
        <v>10</v>
      </c>
      <c r="C15" s="33"/>
      <c r="D15" s="33"/>
      <c r="E15" s="33"/>
      <c r="F15" s="30"/>
      <c r="G15" s="30"/>
      <c r="H15" s="30"/>
      <c r="I15" s="30"/>
      <c r="J15" s="30"/>
      <c r="K15" s="31" t="str">
        <f aca="false">IFERROR(AVERAGE(F15:J15),"")</f>
        <v/>
      </c>
      <c r="L15" s="33"/>
    </row>
    <row r="16" customFormat="false" ht="54.75" hidden="false" customHeight="true" outlineLevel="0" collapsed="false">
      <c r="B16" s="29" t="n">
        <v>11</v>
      </c>
      <c r="C16" s="8"/>
      <c r="D16" s="8"/>
      <c r="E16" s="8"/>
      <c r="F16" s="30"/>
      <c r="G16" s="30"/>
      <c r="H16" s="30"/>
      <c r="I16" s="30"/>
      <c r="J16" s="30"/>
      <c r="K16" s="31" t="str">
        <f aca="false">IFERROR(AVERAGE(F16:J16),"")</f>
        <v/>
      </c>
      <c r="L16" s="8"/>
    </row>
    <row r="17" customFormat="false" ht="54.75" hidden="false" customHeight="true" outlineLevel="0" collapsed="false">
      <c r="B17" s="32" t="n">
        <v>12</v>
      </c>
      <c r="C17" s="33"/>
      <c r="D17" s="33"/>
      <c r="E17" s="33"/>
      <c r="F17" s="30"/>
      <c r="G17" s="30"/>
      <c r="H17" s="30"/>
      <c r="I17" s="30"/>
      <c r="J17" s="30"/>
      <c r="K17" s="31" t="str">
        <f aca="false">IFERROR(AVERAGE(F17:J17),"")</f>
        <v/>
      </c>
      <c r="L17" s="33"/>
    </row>
    <row r="18" customFormat="false" ht="54.75" hidden="false" customHeight="true" outlineLevel="0" collapsed="false">
      <c r="B18" s="29" t="n">
        <v>13</v>
      </c>
      <c r="C18" s="8"/>
      <c r="D18" s="8"/>
      <c r="E18" s="8"/>
      <c r="F18" s="30"/>
      <c r="G18" s="30"/>
      <c r="H18" s="30"/>
      <c r="I18" s="30"/>
      <c r="J18" s="30"/>
      <c r="K18" s="31" t="str">
        <f aca="false">IFERROR(AVERAGE(F18:J18),"")</f>
        <v/>
      </c>
      <c r="L18" s="8"/>
    </row>
    <row r="19" customFormat="false" ht="54.75" hidden="false" customHeight="true" outlineLevel="0" collapsed="false">
      <c r="B19" s="32" t="n">
        <v>14</v>
      </c>
      <c r="C19" s="33"/>
      <c r="D19" s="33"/>
      <c r="E19" s="33"/>
      <c r="F19" s="30"/>
      <c r="G19" s="30"/>
      <c r="H19" s="30"/>
      <c r="I19" s="30"/>
      <c r="J19" s="30"/>
      <c r="K19" s="31" t="str">
        <f aca="false">IFERROR(AVERAGE(F19:J19),"")</f>
        <v/>
      </c>
      <c r="L19" s="33"/>
    </row>
    <row r="20" customFormat="false" ht="54.75" hidden="false" customHeight="true" outlineLevel="0" collapsed="false">
      <c r="B20" s="29" t="n">
        <v>15</v>
      </c>
      <c r="C20" s="8"/>
      <c r="D20" s="8"/>
      <c r="E20" s="8"/>
      <c r="F20" s="30"/>
      <c r="G20" s="30"/>
      <c r="H20" s="30"/>
      <c r="I20" s="30"/>
      <c r="J20" s="30"/>
      <c r="K20" s="31" t="str">
        <f aca="false">IFERROR(AVERAGE(F20:J20),"")</f>
        <v/>
      </c>
      <c r="L20" s="8"/>
    </row>
    <row r="21" customFormat="false" ht="54.75" hidden="false" customHeight="true" outlineLevel="0" collapsed="false">
      <c r="B21" s="32" t="n">
        <v>16</v>
      </c>
      <c r="C21" s="33"/>
      <c r="D21" s="33"/>
      <c r="E21" s="33"/>
      <c r="F21" s="30"/>
      <c r="G21" s="30"/>
      <c r="H21" s="30"/>
      <c r="I21" s="30"/>
      <c r="J21" s="30"/>
      <c r="K21" s="31" t="str">
        <f aca="false">IFERROR(AVERAGE(F21:J21),"")</f>
        <v/>
      </c>
      <c r="L21" s="33"/>
    </row>
    <row r="22" customFormat="false" ht="54.75" hidden="false" customHeight="true" outlineLevel="0" collapsed="false">
      <c r="B22" s="29" t="n">
        <v>17</v>
      </c>
      <c r="C22" s="8"/>
      <c r="D22" s="8"/>
      <c r="E22" s="8"/>
      <c r="F22" s="30"/>
      <c r="G22" s="30"/>
      <c r="H22" s="30"/>
      <c r="I22" s="30"/>
      <c r="J22" s="30"/>
      <c r="K22" s="31" t="str">
        <f aca="false">IFERROR(AVERAGE(F22:J22),"")</f>
        <v/>
      </c>
      <c r="L22" s="8"/>
    </row>
    <row r="23" customFormat="false" ht="54.75" hidden="false" customHeight="true" outlineLevel="0" collapsed="false">
      <c r="B23" s="32" t="n">
        <v>18</v>
      </c>
      <c r="C23" s="33"/>
      <c r="D23" s="33"/>
      <c r="E23" s="33"/>
      <c r="F23" s="30"/>
      <c r="G23" s="30"/>
      <c r="H23" s="30"/>
      <c r="I23" s="30"/>
      <c r="J23" s="30"/>
      <c r="K23" s="31" t="str">
        <f aca="false">IFERROR(AVERAGE(F23:J23),"")</f>
        <v/>
      </c>
      <c r="L23" s="33"/>
    </row>
    <row r="24" customFormat="false" ht="54.75" hidden="false" customHeight="true" outlineLevel="0" collapsed="false">
      <c r="B24" s="29" t="n">
        <v>19</v>
      </c>
      <c r="C24" s="8"/>
      <c r="D24" s="8"/>
      <c r="E24" s="8"/>
      <c r="F24" s="30"/>
      <c r="G24" s="30"/>
      <c r="H24" s="30"/>
      <c r="I24" s="30"/>
      <c r="J24" s="30"/>
      <c r="K24" s="31" t="str">
        <f aca="false">IFERROR(AVERAGE(F24:J24),"")</f>
        <v/>
      </c>
      <c r="L24" s="8"/>
    </row>
    <row r="25" customFormat="false" ht="54.75" hidden="false" customHeight="true" outlineLevel="0" collapsed="false">
      <c r="B25" s="32" t="n">
        <v>20</v>
      </c>
      <c r="C25" s="33"/>
      <c r="D25" s="33"/>
      <c r="E25" s="33"/>
      <c r="F25" s="30"/>
      <c r="G25" s="30"/>
      <c r="H25" s="30"/>
      <c r="I25" s="30"/>
      <c r="J25" s="30"/>
      <c r="K25" s="31" t="str">
        <f aca="false">IFERROR(AVERAGE(F25:J25),"")</f>
        <v/>
      </c>
      <c r="L25" s="33"/>
    </row>
    <row r="26" customFormat="false" ht="54.75" hidden="false" customHeight="true" outlineLevel="0" collapsed="false">
      <c r="B26" s="29" t="n">
        <v>21</v>
      </c>
      <c r="C26" s="8"/>
      <c r="D26" s="8"/>
      <c r="E26" s="8"/>
      <c r="F26" s="30"/>
      <c r="G26" s="30"/>
      <c r="H26" s="30"/>
      <c r="I26" s="30"/>
      <c r="J26" s="30"/>
      <c r="K26" s="31" t="str">
        <f aca="false">IFERROR(AVERAGE(F26:J26),"")</f>
        <v/>
      </c>
      <c r="L26" s="8"/>
    </row>
    <row r="27" customFormat="false" ht="54.75" hidden="false" customHeight="true" outlineLevel="0" collapsed="false">
      <c r="B27" s="32" t="n">
        <v>22</v>
      </c>
      <c r="C27" s="33"/>
      <c r="D27" s="33"/>
      <c r="E27" s="33"/>
      <c r="F27" s="30"/>
      <c r="G27" s="30"/>
      <c r="H27" s="30"/>
      <c r="I27" s="30"/>
      <c r="J27" s="30"/>
      <c r="K27" s="31" t="str">
        <f aca="false">IFERROR(AVERAGE(F27:J27),"")</f>
        <v/>
      </c>
      <c r="L27" s="33"/>
    </row>
    <row r="28" customFormat="false" ht="54.75" hidden="false" customHeight="true" outlineLevel="0" collapsed="false">
      <c r="B28" s="29" t="n">
        <v>23</v>
      </c>
      <c r="C28" s="8"/>
      <c r="D28" s="8"/>
      <c r="E28" s="8"/>
      <c r="F28" s="30"/>
      <c r="G28" s="30"/>
      <c r="H28" s="30"/>
      <c r="I28" s="30"/>
      <c r="J28" s="30"/>
      <c r="K28" s="31" t="str">
        <f aca="false">IFERROR(AVERAGE(F28:J28),"")</f>
        <v/>
      </c>
      <c r="L28" s="8"/>
    </row>
    <row r="29" customFormat="false" ht="54.75" hidden="false" customHeight="true" outlineLevel="0" collapsed="false">
      <c r="B29" s="32" t="n">
        <v>24</v>
      </c>
      <c r="C29" s="33"/>
      <c r="D29" s="33"/>
      <c r="E29" s="33"/>
      <c r="F29" s="30"/>
      <c r="G29" s="30"/>
      <c r="H29" s="30"/>
      <c r="I29" s="30"/>
      <c r="J29" s="30"/>
      <c r="K29" s="31" t="str">
        <f aca="false">IFERROR(AVERAGE(F29:J29),"")</f>
        <v/>
      </c>
      <c r="L29" s="33"/>
    </row>
    <row r="30" customFormat="false" ht="54.75" hidden="false" customHeight="true" outlineLevel="0" collapsed="false">
      <c r="B30" s="29" t="n">
        <v>25</v>
      </c>
      <c r="C30" s="8"/>
      <c r="D30" s="8"/>
      <c r="E30" s="8"/>
      <c r="F30" s="30"/>
      <c r="G30" s="30"/>
      <c r="H30" s="30"/>
      <c r="I30" s="30"/>
      <c r="J30" s="30"/>
      <c r="K30" s="31" t="str">
        <f aca="false">IFERROR(AVERAGE(F30:J30),"")</f>
        <v/>
      </c>
      <c r="L30" s="8"/>
    </row>
    <row r="31" customFormat="false" ht="54.75" hidden="false" customHeight="true" outlineLevel="0" collapsed="false">
      <c r="B31" s="32" t="n">
        <v>26</v>
      </c>
      <c r="C31" s="33"/>
      <c r="D31" s="33"/>
      <c r="E31" s="33"/>
      <c r="F31" s="30"/>
      <c r="G31" s="30"/>
      <c r="H31" s="30"/>
      <c r="I31" s="30"/>
      <c r="J31" s="30"/>
      <c r="K31" s="31" t="str">
        <f aca="false">IFERROR(AVERAGE(F31:J31),"")</f>
        <v/>
      </c>
      <c r="L31" s="33"/>
    </row>
    <row r="32" customFormat="false" ht="54.75" hidden="false" customHeight="true" outlineLevel="0" collapsed="false">
      <c r="B32" s="29" t="n">
        <v>27</v>
      </c>
      <c r="C32" s="8"/>
      <c r="D32" s="8"/>
      <c r="E32" s="8"/>
      <c r="F32" s="30"/>
      <c r="G32" s="30"/>
      <c r="H32" s="30"/>
      <c r="I32" s="30"/>
      <c r="J32" s="30"/>
      <c r="K32" s="31" t="str">
        <f aca="false">IFERROR(AVERAGE(F32:J32),"")</f>
        <v/>
      </c>
      <c r="L32" s="8"/>
    </row>
    <row r="33" customFormat="false" ht="54.75" hidden="false" customHeight="true" outlineLevel="0" collapsed="false">
      <c r="B33" s="32" t="n">
        <v>28</v>
      </c>
      <c r="C33" s="33"/>
      <c r="D33" s="33"/>
      <c r="E33" s="33"/>
      <c r="F33" s="30"/>
      <c r="G33" s="30"/>
      <c r="H33" s="30"/>
      <c r="I33" s="30"/>
      <c r="J33" s="30"/>
      <c r="K33" s="31" t="str">
        <f aca="false">IFERROR(AVERAGE(F33:J33),"")</f>
        <v/>
      </c>
      <c r="L33" s="33"/>
    </row>
    <row r="34" customFormat="false" ht="54.75" hidden="false" customHeight="true" outlineLevel="0" collapsed="false">
      <c r="B34" s="29" t="n">
        <v>29</v>
      </c>
      <c r="C34" s="8"/>
      <c r="D34" s="8"/>
      <c r="E34" s="8"/>
      <c r="F34" s="30"/>
      <c r="G34" s="30"/>
      <c r="H34" s="30"/>
      <c r="I34" s="30"/>
      <c r="J34" s="30"/>
      <c r="K34" s="31" t="str">
        <f aca="false">IFERROR(AVERAGE(F34:J34),"")</f>
        <v/>
      </c>
      <c r="L34" s="8"/>
    </row>
    <row r="35" customFormat="false" ht="54.75" hidden="false" customHeight="true" outlineLevel="0" collapsed="false">
      <c r="B35" s="32" t="n">
        <v>30</v>
      </c>
      <c r="C35" s="33"/>
      <c r="D35" s="33"/>
      <c r="E35" s="33"/>
      <c r="F35" s="30"/>
      <c r="G35" s="30"/>
      <c r="H35" s="30"/>
      <c r="I35" s="30"/>
      <c r="J35" s="30"/>
      <c r="K35" s="31" t="str">
        <f aca="false">IFERROR(AVERAGE(F35:J35),"")</f>
        <v/>
      </c>
      <c r="L35" s="33"/>
    </row>
    <row r="36" customFormat="false" ht="54.75" hidden="false" customHeight="true" outlineLevel="0" collapsed="false">
      <c r="B36" s="29" t="n">
        <v>31</v>
      </c>
      <c r="C36" s="8"/>
      <c r="D36" s="8"/>
      <c r="E36" s="8"/>
      <c r="F36" s="30"/>
      <c r="G36" s="30"/>
      <c r="H36" s="30"/>
      <c r="I36" s="30"/>
      <c r="J36" s="30"/>
      <c r="K36" s="31" t="str">
        <f aca="false">IFERROR(AVERAGE(F36:J36),"")</f>
        <v/>
      </c>
      <c r="L36" s="8"/>
    </row>
    <row r="37" customFormat="false" ht="27.75" hidden="false" customHeight="true" outlineLevel="0" collapsed="false">
      <c r="B37" s="34" t="s">
        <v>53</v>
      </c>
      <c r="C37" s="34"/>
      <c r="D37" s="34"/>
      <c r="E37" s="34"/>
      <c r="F37" s="35" t="str">
        <f aca="false">IFERROR(AVERAGE(F6:F36),"")</f>
        <v/>
      </c>
      <c r="G37" s="35" t="str">
        <f aca="false">IFERROR(AVERAGE(G6:G36),"")</f>
        <v/>
      </c>
      <c r="H37" s="35" t="str">
        <f aca="false">IFERROR(AVERAGE(H6:H36),"")</f>
        <v/>
      </c>
      <c r="I37" s="35" t="str">
        <f aca="false">IFERROR(AVERAGE(I6:I36),"")</f>
        <v/>
      </c>
      <c r="J37" s="35" t="str">
        <f aca="false">IFERROR(AVERAGE(J6:J36),"")</f>
        <v/>
      </c>
      <c r="K37" s="36" t="str">
        <f aca="false">IFERROR(AVERAGE(F37:J37),"")</f>
        <v/>
      </c>
      <c r="L37" s="37"/>
    </row>
  </sheetData>
  <mergeCells count="2">
    <mergeCell ref="B2:K2"/>
    <mergeCell ref="B37:E37"/>
  </mergeCells>
  <conditionalFormatting sqref="K6:K36">
    <cfRule type="colorScale" priority="2">
      <colorScale>
        <cfvo type="num" val="1"/>
        <cfvo type="num" val="3"/>
        <cfvo type="num" val="5"/>
        <color rgb="FFFF0000"/>
        <color rgb="FFFFFF00"/>
        <color rgb="FF00B050"/>
      </colorScale>
    </cfRule>
  </conditionalFormatting>
  <dataValidations count="1">
    <dataValidation allowBlank="false" error="Unesite broj od 1 do 5" errorStyle="stop" errorTitle="Nevažeći unos" operator="between" prompt="Ocjena: 1=Nedovoljno … 5=Izvrsno" promptTitle="Ocjena" showDropDown="false" showErrorMessage="false" showInputMessage="false" sqref="F6:J3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5" min="3" style="1" width="45"/>
    <col collapsed="false" customWidth="true" hidden="false" outlineLevel="0" max="10" min="6" style="1" width="12"/>
    <col collapsed="false" customWidth="true" hidden="false" outlineLevel="0" max="11" min="11" style="1" width="35"/>
  </cols>
  <sheetData>
    <row r="1" customFormat="false" ht="12" hidden="false" customHeight="true" outlineLevel="0" collapsed="false"/>
    <row r="2" customFormat="false" ht="36" hidden="false" customHeight="true" outlineLevel="0" collapsed="false">
      <c r="B2" s="38" t="s">
        <v>54</v>
      </c>
      <c r="C2" s="38"/>
      <c r="D2" s="38"/>
      <c r="E2" s="38"/>
      <c r="F2" s="38"/>
      <c r="G2" s="38"/>
      <c r="H2" s="38"/>
      <c r="I2" s="38"/>
      <c r="J2" s="38"/>
      <c r="K2" s="38"/>
    </row>
    <row r="3" customFormat="false" ht="21.75" hidden="false" customHeight="true" outlineLevel="0" collapsed="false">
      <c r="B3" s="24" t="s">
        <v>42</v>
      </c>
      <c r="C3" s="25"/>
      <c r="D3" s="24" t="s">
        <v>43</v>
      </c>
      <c r="E3" s="25"/>
      <c r="F3" s="24" t="s">
        <v>44</v>
      </c>
      <c r="G3" s="25"/>
      <c r="H3" s="24" t="s">
        <v>45</v>
      </c>
      <c r="I3" s="25" t="s">
        <v>55</v>
      </c>
    </row>
    <row r="4" customFormat="false" ht="7.5" hidden="false" customHeight="true" outlineLevel="0" collapsed="false"/>
    <row r="5" customFormat="false" ht="49.5" hidden="false" customHeight="true" outlineLevel="0" collapsed="false">
      <c r="B5" s="26" t="s">
        <v>47</v>
      </c>
      <c r="C5" s="26" t="s">
        <v>48</v>
      </c>
      <c r="D5" s="26" t="s">
        <v>49</v>
      </c>
      <c r="E5" s="26" t="s">
        <v>50</v>
      </c>
      <c r="F5" s="27" t="s">
        <v>7</v>
      </c>
      <c r="G5" s="27" t="s">
        <v>10</v>
      </c>
      <c r="H5" s="27" t="s">
        <v>12</v>
      </c>
      <c r="I5" s="27" t="s">
        <v>15</v>
      </c>
      <c r="J5" s="27" t="s">
        <v>18</v>
      </c>
      <c r="K5" s="28" t="s">
        <v>51</v>
      </c>
      <c r="L5" s="28" t="s">
        <v>52</v>
      </c>
    </row>
    <row r="6" customFormat="false" ht="54.75" hidden="false" customHeight="true" outlineLevel="0" collapsed="false">
      <c r="B6" s="29" t="n">
        <v>1</v>
      </c>
      <c r="C6" s="8"/>
      <c r="D6" s="8"/>
      <c r="E6" s="8"/>
      <c r="F6" s="30"/>
      <c r="G6" s="30"/>
      <c r="H6" s="30"/>
      <c r="I6" s="30"/>
      <c r="J6" s="30"/>
      <c r="K6" s="31" t="str">
        <f aca="false">IFERROR(AVERAGE(F6:J6),"")</f>
        <v/>
      </c>
      <c r="L6" s="8"/>
    </row>
    <row r="7" customFormat="false" ht="54.75" hidden="false" customHeight="true" outlineLevel="0" collapsed="false">
      <c r="B7" s="32" t="n">
        <v>2</v>
      </c>
      <c r="C7" s="33"/>
      <c r="D7" s="33"/>
      <c r="E7" s="33"/>
      <c r="F7" s="30"/>
      <c r="G7" s="30"/>
      <c r="H7" s="30"/>
      <c r="I7" s="30"/>
      <c r="J7" s="30"/>
      <c r="K7" s="31" t="str">
        <f aca="false">IFERROR(AVERAGE(F7:J7),"")</f>
        <v/>
      </c>
      <c r="L7" s="33"/>
    </row>
    <row r="8" customFormat="false" ht="54.75" hidden="false" customHeight="true" outlineLevel="0" collapsed="false">
      <c r="B8" s="29" t="n">
        <v>3</v>
      </c>
      <c r="C8" s="8"/>
      <c r="D8" s="8"/>
      <c r="E8" s="8"/>
      <c r="F8" s="30"/>
      <c r="G8" s="30"/>
      <c r="H8" s="30"/>
      <c r="I8" s="30"/>
      <c r="J8" s="30"/>
      <c r="K8" s="31" t="str">
        <f aca="false">IFERROR(AVERAGE(F8:J8),"")</f>
        <v/>
      </c>
      <c r="L8" s="8"/>
    </row>
    <row r="9" customFormat="false" ht="54.75" hidden="false" customHeight="true" outlineLevel="0" collapsed="false">
      <c r="B9" s="32" t="n">
        <v>4</v>
      </c>
      <c r="C9" s="33"/>
      <c r="D9" s="33"/>
      <c r="E9" s="33"/>
      <c r="F9" s="30"/>
      <c r="G9" s="30"/>
      <c r="H9" s="30"/>
      <c r="I9" s="30"/>
      <c r="J9" s="30"/>
      <c r="K9" s="31" t="str">
        <f aca="false">IFERROR(AVERAGE(F9:J9),"")</f>
        <v/>
      </c>
      <c r="L9" s="33"/>
    </row>
    <row r="10" customFormat="false" ht="54.75" hidden="false" customHeight="true" outlineLevel="0" collapsed="false">
      <c r="B10" s="29" t="n">
        <v>5</v>
      </c>
      <c r="C10" s="8"/>
      <c r="D10" s="8"/>
      <c r="E10" s="8"/>
      <c r="F10" s="30"/>
      <c r="G10" s="30"/>
      <c r="H10" s="30"/>
      <c r="I10" s="30"/>
      <c r="J10" s="30"/>
      <c r="K10" s="31" t="str">
        <f aca="false">IFERROR(AVERAGE(F10:J10),"")</f>
        <v/>
      </c>
      <c r="L10" s="8"/>
    </row>
    <row r="11" customFormat="false" ht="54.75" hidden="false" customHeight="true" outlineLevel="0" collapsed="false">
      <c r="B11" s="32" t="n">
        <v>6</v>
      </c>
      <c r="C11" s="33"/>
      <c r="D11" s="33"/>
      <c r="E11" s="33"/>
      <c r="F11" s="30"/>
      <c r="G11" s="30"/>
      <c r="H11" s="30"/>
      <c r="I11" s="30"/>
      <c r="J11" s="30"/>
      <c r="K11" s="31" t="str">
        <f aca="false">IFERROR(AVERAGE(F11:J11),"")</f>
        <v/>
      </c>
      <c r="L11" s="33"/>
    </row>
    <row r="12" customFormat="false" ht="54.75" hidden="false" customHeight="true" outlineLevel="0" collapsed="false">
      <c r="B12" s="29" t="n">
        <v>7</v>
      </c>
      <c r="C12" s="8"/>
      <c r="D12" s="8"/>
      <c r="E12" s="8"/>
      <c r="F12" s="30"/>
      <c r="G12" s="30"/>
      <c r="H12" s="30"/>
      <c r="I12" s="30"/>
      <c r="J12" s="30"/>
      <c r="K12" s="31" t="str">
        <f aca="false">IFERROR(AVERAGE(F12:J12),"")</f>
        <v/>
      </c>
      <c r="L12" s="8"/>
    </row>
    <row r="13" customFormat="false" ht="54.75" hidden="false" customHeight="true" outlineLevel="0" collapsed="false">
      <c r="B13" s="32" t="n">
        <v>8</v>
      </c>
      <c r="C13" s="33"/>
      <c r="D13" s="33"/>
      <c r="E13" s="33"/>
      <c r="F13" s="30"/>
      <c r="G13" s="30"/>
      <c r="H13" s="30"/>
      <c r="I13" s="30"/>
      <c r="J13" s="30"/>
      <c r="K13" s="31" t="str">
        <f aca="false">IFERROR(AVERAGE(F13:J13),"")</f>
        <v/>
      </c>
      <c r="L13" s="33"/>
    </row>
    <row r="14" customFormat="false" ht="54.75" hidden="false" customHeight="true" outlineLevel="0" collapsed="false">
      <c r="B14" s="29" t="n">
        <v>9</v>
      </c>
      <c r="C14" s="8"/>
      <c r="D14" s="8"/>
      <c r="E14" s="8"/>
      <c r="F14" s="30"/>
      <c r="G14" s="30"/>
      <c r="H14" s="30"/>
      <c r="I14" s="30"/>
      <c r="J14" s="30"/>
      <c r="K14" s="31" t="str">
        <f aca="false">IFERROR(AVERAGE(F14:J14),"")</f>
        <v/>
      </c>
      <c r="L14" s="8"/>
    </row>
    <row r="15" customFormat="false" ht="54.75" hidden="false" customHeight="true" outlineLevel="0" collapsed="false">
      <c r="B15" s="32" t="n">
        <v>10</v>
      </c>
      <c r="C15" s="33"/>
      <c r="D15" s="33"/>
      <c r="E15" s="33"/>
      <c r="F15" s="30"/>
      <c r="G15" s="30"/>
      <c r="H15" s="30"/>
      <c r="I15" s="30"/>
      <c r="J15" s="30"/>
      <c r="K15" s="31" t="str">
        <f aca="false">IFERROR(AVERAGE(F15:J15),"")</f>
        <v/>
      </c>
      <c r="L15" s="33"/>
    </row>
    <row r="16" customFormat="false" ht="54.75" hidden="false" customHeight="true" outlineLevel="0" collapsed="false">
      <c r="B16" s="29" t="n">
        <v>11</v>
      </c>
      <c r="C16" s="8"/>
      <c r="D16" s="8"/>
      <c r="E16" s="8"/>
      <c r="F16" s="30"/>
      <c r="G16" s="30"/>
      <c r="H16" s="30"/>
      <c r="I16" s="30"/>
      <c r="J16" s="30"/>
      <c r="K16" s="31" t="str">
        <f aca="false">IFERROR(AVERAGE(F16:J16),"")</f>
        <v/>
      </c>
      <c r="L16" s="8"/>
    </row>
    <row r="17" customFormat="false" ht="54.75" hidden="false" customHeight="true" outlineLevel="0" collapsed="false">
      <c r="B17" s="32" t="n">
        <v>12</v>
      </c>
      <c r="C17" s="33"/>
      <c r="D17" s="33"/>
      <c r="E17" s="33"/>
      <c r="F17" s="30"/>
      <c r="G17" s="30"/>
      <c r="H17" s="30"/>
      <c r="I17" s="30"/>
      <c r="J17" s="30"/>
      <c r="K17" s="31" t="str">
        <f aca="false">IFERROR(AVERAGE(F17:J17),"")</f>
        <v/>
      </c>
      <c r="L17" s="33"/>
    </row>
    <row r="18" customFormat="false" ht="54.75" hidden="false" customHeight="true" outlineLevel="0" collapsed="false">
      <c r="B18" s="29" t="n">
        <v>13</v>
      </c>
      <c r="C18" s="8"/>
      <c r="D18" s="8"/>
      <c r="E18" s="8"/>
      <c r="F18" s="30"/>
      <c r="G18" s="30"/>
      <c r="H18" s="30"/>
      <c r="I18" s="30"/>
      <c r="J18" s="30"/>
      <c r="K18" s="31" t="str">
        <f aca="false">IFERROR(AVERAGE(F18:J18),"")</f>
        <v/>
      </c>
      <c r="L18" s="8"/>
    </row>
    <row r="19" customFormat="false" ht="54.75" hidden="false" customHeight="true" outlineLevel="0" collapsed="false">
      <c r="B19" s="32" t="n">
        <v>14</v>
      </c>
      <c r="C19" s="33"/>
      <c r="D19" s="33"/>
      <c r="E19" s="33"/>
      <c r="F19" s="30"/>
      <c r="G19" s="30"/>
      <c r="H19" s="30"/>
      <c r="I19" s="30"/>
      <c r="J19" s="30"/>
      <c r="K19" s="31" t="str">
        <f aca="false">IFERROR(AVERAGE(F19:J19),"")</f>
        <v/>
      </c>
      <c r="L19" s="33"/>
    </row>
    <row r="20" customFormat="false" ht="54.75" hidden="false" customHeight="true" outlineLevel="0" collapsed="false">
      <c r="B20" s="29" t="n">
        <v>15</v>
      </c>
      <c r="C20" s="8"/>
      <c r="D20" s="8"/>
      <c r="E20" s="8"/>
      <c r="F20" s="30"/>
      <c r="G20" s="30"/>
      <c r="H20" s="30"/>
      <c r="I20" s="30"/>
      <c r="J20" s="30"/>
      <c r="K20" s="31" t="str">
        <f aca="false">IFERROR(AVERAGE(F20:J20),"")</f>
        <v/>
      </c>
      <c r="L20" s="8"/>
    </row>
    <row r="21" customFormat="false" ht="54.75" hidden="false" customHeight="true" outlineLevel="0" collapsed="false">
      <c r="B21" s="32" t="n">
        <v>16</v>
      </c>
      <c r="C21" s="33"/>
      <c r="D21" s="33"/>
      <c r="E21" s="33"/>
      <c r="F21" s="30"/>
      <c r="G21" s="30"/>
      <c r="H21" s="30"/>
      <c r="I21" s="30"/>
      <c r="J21" s="30"/>
      <c r="K21" s="31" t="str">
        <f aca="false">IFERROR(AVERAGE(F21:J21),"")</f>
        <v/>
      </c>
      <c r="L21" s="33"/>
    </row>
    <row r="22" customFormat="false" ht="54.75" hidden="false" customHeight="true" outlineLevel="0" collapsed="false">
      <c r="B22" s="29" t="n">
        <v>17</v>
      </c>
      <c r="C22" s="8"/>
      <c r="D22" s="8"/>
      <c r="E22" s="8"/>
      <c r="F22" s="30"/>
      <c r="G22" s="30"/>
      <c r="H22" s="30"/>
      <c r="I22" s="30"/>
      <c r="J22" s="30"/>
      <c r="K22" s="31" t="str">
        <f aca="false">IFERROR(AVERAGE(F22:J22),"")</f>
        <v/>
      </c>
      <c r="L22" s="8"/>
    </row>
    <row r="23" customFormat="false" ht="54.75" hidden="false" customHeight="true" outlineLevel="0" collapsed="false">
      <c r="B23" s="32" t="n">
        <v>18</v>
      </c>
      <c r="C23" s="33"/>
      <c r="D23" s="33"/>
      <c r="E23" s="33"/>
      <c r="F23" s="30"/>
      <c r="G23" s="30"/>
      <c r="H23" s="30"/>
      <c r="I23" s="30"/>
      <c r="J23" s="30"/>
      <c r="K23" s="31" t="str">
        <f aca="false">IFERROR(AVERAGE(F23:J23),"")</f>
        <v/>
      </c>
      <c r="L23" s="33"/>
    </row>
    <row r="24" customFormat="false" ht="54.75" hidden="false" customHeight="true" outlineLevel="0" collapsed="false">
      <c r="B24" s="29" t="n">
        <v>19</v>
      </c>
      <c r="C24" s="8"/>
      <c r="D24" s="8"/>
      <c r="E24" s="8"/>
      <c r="F24" s="30"/>
      <c r="G24" s="30"/>
      <c r="H24" s="30"/>
      <c r="I24" s="30"/>
      <c r="J24" s="30"/>
      <c r="K24" s="31" t="str">
        <f aca="false">IFERROR(AVERAGE(F24:J24),"")</f>
        <v/>
      </c>
      <c r="L24" s="8"/>
    </row>
    <row r="25" customFormat="false" ht="54.75" hidden="false" customHeight="true" outlineLevel="0" collapsed="false">
      <c r="B25" s="32" t="n">
        <v>20</v>
      </c>
      <c r="C25" s="33"/>
      <c r="D25" s="33"/>
      <c r="E25" s="33"/>
      <c r="F25" s="30"/>
      <c r="G25" s="30"/>
      <c r="H25" s="30"/>
      <c r="I25" s="30"/>
      <c r="J25" s="30"/>
      <c r="K25" s="31" t="str">
        <f aca="false">IFERROR(AVERAGE(F25:J25),"")</f>
        <v/>
      </c>
      <c r="L25" s="33"/>
    </row>
    <row r="26" customFormat="false" ht="54.75" hidden="false" customHeight="true" outlineLevel="0" collapsed="false">
      <c r="B26" s="29" t="n">
        <v>21</v>
      </c>
      <c r="C26" s="8"/>
      <c r="D26" s="8"/>
      <c r="E26" s="8"/>
      <c r="F26" s="30"/>
      <c r="G26" s="30"/>
      <c r="H26" s="30"/>
      <c r="I26" s="30"/>
      <c r="J26" s="30"/>
      <c r="K26" s="31" t="str">
        <f aca="false">IFERROR(AVERAGE(F26:J26),"")</f>
        <v/>
      </c>
      <c r="L26" s="8"/>
    </row>
    <row r="27" customFormat="false" ht="54.75" hidden="false" customHeight="true" outlineLevel="0" collapsed="false">
      <c r="B27" s="32" t="n">
        <v>22</v>
      </c>
      <c r="C27" s="33"/>
      <c r="D27" s="33"/>
      <c r="E27" s="33"/>
      <c r="F27" s="30"/>
      <c r="G27" s="30"/>
      <c r="H27" s="30"/>
      <c r="I27" s="30"/>
      <c r="J27" s="30"/>
      <c r="K27" s="31" t="str">
        <f aca="false">IFERROR(AVERAGE(F27:J27),"")</f>
        <v/>
      </c>
      <c r="L27" s="33"/>
    </row>
    <row r="28" customFormat="false" ht="54.75" hidden="false" customHeight="true" outlineLevel="0" collapsed="false">
      <c r="B28" s="29" t="n">
        <v>23</v>
      </c>
      <c r="C28" s="8"/>
      <c r="D28" s="8"/>
      <c r="E28" s="8"/>
      <c r="F28" s="30"/>
      <c r="G28" s="30"/>
      <c r="H28" s="30"/>
      <c r="I28" s="30"/>
      <c r="J28" s="30"/>
      <c r="K28" s="31" t="str">
        <f aca="false">IFERROR(AVERAGE(F28:J28),"")</f>
        <v/>
      </c>
      <c r="L28" s="8"/>
    </row>
    <row r="29" customFormat="false" ht="54.75" hidden="false" customHeight="true" outlineLevel="0" collapsed="false">
      <c r="B29" s="32" t="n">
        <v>24</v>
      </c>
      <c r="C29" s="33"/>
      <c r="D29" s="33"/>
      <c r="E29" s="33"/>
      <c r="F29" s="30"/>
      <c r="G29" s="30"/>
      <c r="H29" s="30"/>
      <c r="I29" s="30"/>
      <c r="J29" s="30"/>
      <c r="K29" s="31" t="str">
        <f aca="false">IFERROR(AVERAGE(F29:J29),"")</f>
        <v/>
      </c>
      <c r="L29" s="33"/>
    </row>
    <row r="30" customFormat="false" ht="54.75" hidden="false" customHeight="true" outlineLevel="0" collapsed="false">
      <c r="B30" s="29" t="n">
        <v>25</v>
      </c>
      <c r="C30" s="8"/>
      <c r="D30" s="8"/>
      <c r="E30" s="8"/>
      <c r="F30" s="30"/>
      <c r="G30" s="30"/>
      <c r="H30" s="30"/>
      <c r="I30" s="30"/>
      <c r="J30" s="30"/>
      <c r="K30" s="31" t="str">
        <f aca="false">IFERROR(AVERAGE(F30:J30),"")</f>
        <v/>
      </c>
      <c r="L30" s="8"/>
    </row>
    <row r="31" customFormat="false" ht="54.75" hidden="false" customHeight="true" outlineLevel="0" collapsed="false">
      <c r="B31" s="32" t="n">
        <v>26</v>
      </c>
      <c r="C31" s="33"/>
      <c r="D31" s="33"/>
      <c r="E31" s="33"/>
      <c r="F31" s="30"/>
      <c r="G31" s="30"/>
      <c r="H31" s="30"/>
      <c r="I31" s="30"/>
      <c r="J31" s="30"/>
      <c r="K31" s="31" t="str">
        <f aca="false">IFERROR(AVERAGE(F31:J31),"")</f>
        <v/>
      </c>
      <c r="L31" s="33"/>
    </row>
    <row r="32" customFormat="false" ht="54.75" hidden="false" customHeight="true" outlineLevel="0" collapsed="false">
      <c r="B32" s="29" t="n">
        <v>27</v>
      </c>
      <c r="C32" s="8"/>
      <c r="D32" s="8"/>
      <c r="E32" s="8"/>
      <c r="F32" s="30"/>
      <c r="G32" s="30"/>
      <c r="H32" s="30"/>
      <c r="I32" s="30"/>
      <c r="J32" s="30"/>
      <c r="K32" s="31" t="str">
        <f aca="false">IFERROR(AVERAGE(F32:J32),"")</f>
        <v/>
      </c>
      <c r="L32" s="8"/>
    </row>
    <row r="33" customFormat="false" ht="54.75" hidden="false" customHeight="true" outlineLevel="0" collapsed="false">
      <c r="B33" s="32" t="n">
        <v>28</v>
      </c>
      <c r="C33" s="33"/>
      <c r="D33" s="33"/>
      <c r="E33" s="33"/>
      <c r="F33" s="30"/>
      <c r="G33" s="30"/>
      <c r="H33" s="30"/>
      <c r="I33" s="30"/>
      <c r="J33" s="30"/>
      <c r="K33" s="31" t="str">
        <f aca="false">IFERROR(AVERAGE(F33:J33),"")</f>
        <v/>
      </c>
      <c r="L33" s="33"/>
    </row>
    <row r="34" customFormat="false" ht="54.75" hidden="false" customHeight="true" outlineLevel="0" collapsed="false">
      <c r="B34" s="29" t="n">
        <v>29</v>
      </c>
      <c r="C34" s="8"/>
      <c r="D34" s="8"/>
      <c r="E34" s="8"/>
      <c r="F34" s="30"/>
      <c r="G34" s="30"/>
      <c r="H34" s="30"/>
      <c r="I34" s="30"/>
      <c r="J34" s="30"/>
      <c r="K34" s="31" t="str">
        <f aca="false">IFERROR(AVERAGE(F34:J34),"")</f>
        <v/>
      </c>
      <c r="L34" s="8"/>
    </row>
    <row r="35" customFormat="false" ht="54.75" hidden="false" customHeight="true" outlineLevel="0" collapsed="false">
      <c r="B35" s="32" t="n">
        <v>30</v>
      </c>
      <c r="C35" s="33"/>
      <c r="D35" s="33"/>
      <c r="E35" s="33"/>
      <c r="F35" s="30"/>
      <c r="G35" s="30"/>
      <c r="H35" s="30"/>
      <c r="I35" s="30"/>
      <c r="J35" s="30"/>
      <c r="K35" s="31" t="str">
        <f aca="false">IFERROR(AVERAGE(F35:J35),"")</f>
        <v/>
      </c>
      <c r="L35" s="33"/>
    </row>
    <row r="36" customFormat="false" ht="54.75" hidden="false" customHeight="true" outlineLevel="0" collapsed="false">
      <c r="B36" s="29" t="n">
        <v>31</v>
      </c>
      <c r="C36" s="8"/>
      <c r="D36" s="8"/>
      <c r="E36" s="8"/>
      <c r="F36" s="30"/>
      <c r="G36" s="30"/>
      <c r="H36" s="30"/>
      <c r="I36" s="30"/>
      <c r="J36" s="30"/>
      <c r="K36" s="31" t="str">
        <f aca="false">IFERROR(AVERAGE(F36:J36),"")</f>
        <v/>
      </c>
      <c r="L36" s="8"/>
    </row>
    <row r="37" customFormat="false" ht="27.75" hidden="false" customHeight="true" outlineLevel="0" collapsed="false">
      <c r="B37" s="34" t="s">
        <v>53</v>
      </c>
      <c r="C37" s="34"/>
      <c r="D37" s="34"/>
      <c r="E37" s="34"/>
      <c r="F37" s="35" t="str">
        <f aca="false">IFERROR(AVERAGE(F6:F36),"")</f>
        <v/>
      </c>
      <c r="G37" s="35" t="str">
        <f aca="false">IFERROR(AVERAGE(G6:G36),"")</f>
        <v/>
      </c>
      <c r="H37" s="35" t="str">
        <f aca="false">IFERROR(AVERAGE(H6:H36),"")</f>
        <v/>
      </c>
      <c r="I37" s="35" t="str">
        <f aca="false">IFERROR(AVERAGE(I6:I36),"")</f>
        <v/>
      </c>
      <c r="J37" s="35" t="str">
        <f aca="false">IFERROR(AVERAGE(J6:J36),"")</f>
        <v/>
      </c>
      <c r="K37" s="36" t="str">
        <f aca="false">IFERROR(AVERAGE(F37:J37),"")</f>
        <v/>
      </c>
      <c r="L37" s="37"/>
    </row>
  </sheetData>
  <mergeCells count="2">
    <mergeCell ref="B2:K2"/>
    <mergeCell ref="B37:E37"/>
  </mergeCells>
  <conditionalFormatting sqref="K6:K36">
    <cfRule type="colorScale" priority="2">
      <colorScale>
        <cfvo type="num" val="1"/>
        <cfvo type="num" val="3"/>
        <cfvo type="num" val="5"/>
        <color rgb="FFFF0000"/>
        <color rgb="FFFFFF00"/>
        <color rgb="FF00B050"/>
      </colorScale>
    </cfRule>
  </conditionalFormatting>
  <dataValidations count="1">
    <dataValidation allowBlank="false" error="Unesite broj od 1 do 5" errorStyle="stop" errorTitle="Nevažeći unos" operator="between" prompt="Ocjena: 1=Nedovoljno … 5=Izvrsno" promptTitle="Ocjena" showDropDown="false" showErrorMessage="false" showInputMessage="false" sqref="F6:J3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5" min="3" style="1" width="45"/>
    <col collapsed="false" customWidth="true" hidden="false" outlineLevel="0" max="10" min="6" style="1" width="12"/>
    <col collapsed="false" customWidth="true" hidden="false" outlineLevel="0" max="11" min="11" style="1" width="35"/>
  </cols>
  <sheetData>
    <row r="1" customFormat="false" ht="12" hidden="false" customHeight="true" outlineLevel="0" collapsed="false"/>
    <row r="2" customFormat="false" ht="36" hidden="false" customHeight="true" outlineLevel="0" collapsed="false">
      <c r="B2" s="39" t="s">
        <v>56</v>
      </c>
      <c r="C2" s="39"/>
      <c r="D2" s="39"/>
      <c r="E2" s="39"/>
      <c r="F2" s="39"/>
      <c r="G2" s="39"/>
      <c r="H2" s="39"/>
      <c r="I2" s="39"/>
      <c r="J2" s="39"/>
      <c r="K2" s="39"/>
    </row>
    <row r="3" customFormat="false" ht="21.75" hidden="false" customHeight="true" outlineLevel="0" collapsed="false">
      <c r="B3" s="24" t="s">
        <v>42</v>
      </c>
      <c r="C3" s="25"/>
      <c r="D3" s="24" t="s">
        <v>43</v>
      </c>
      <c r="E3" s="25"/>
      <c r="F3" s="24" t="s">
        <v>44</v>
      </c>
      <c r="G3" s="25"/>
      <c r="H3" s="24" t="s">
        <v>45</v>
      </c>
      <c r="I3" s="25" t="s">
        <v>57</v>
      </c>
    </row>
    <row r="4" customFormat="false" ht="7.5" hidden="false" customHeight="true" outlineLevel="0" collapsed="false"/>
    <row r="5" customFormat="false" ht="49.5" hidden="false" customHeight="true" outlineLevel="0" collapsed="false">
      <c r="B5" s="26" t="s">
        <v>47</v>
      </c>
      <c r="C5" s="26" t="s">
        <v>48</v>
      </c>
      <c r="D5" s="26" t="s">
        <v>49</v>
      </c>
      <c r="E5" s="26" t="s">
        <v>50</v>
      </c>
      <c r="F5" s="27" t="s">
        <v>7</v>
      </c>
      <c r="G5" s="27" t="s">
        <v>10</v>
      </c>
      <c r="H5" s="27" t="s">
        <v>12</v>
      </c>
      <c r="I5" s="27" t="s">
        <v>15</v>
      </c>
      <c r="J5" s="27" t="s">
        <v>18</v>
      </c>
      <c r="K5" s="28" t="s">
        <v>51</v>
      </c>
      <c r="L5" s="28" t="s">
        <v>52</v>
      </c>
    </row>
    <row r="6" customFormat="false" ht="54.75" hidden="false" customHeight="true" outlineLevel="0" collapsed="false">
      <c r="B6" s="29" t="n">
        <v>1</v>
      </c>
      <c r="C6" s="8"/>
      <c r="D6" s="8"/>
      <c r="E6" s="8"/>
      <c r="F6" s="30"/>
      <c r="G6" s="30"/>
      <c r="H6" s="30"/>
      <c r="I6" s="30"/>
      <c r="J6" s="30"/>
      <c r="K6" s="31" t="str">
        <f aca="false">IFERROR(AVERAGE(F6:J6),"")</f>
        <v/>
      </c>
      <c r="L6" s="8"/>
    </row>
    <row r="7" customFormat="false" ht="54.75" hidden="false" customHeight="true" outlineLevel="0" collapsed="false">
      <c r="B7" s="32" t="n">
        <v>2</v>
      </c>
      <c r="C7" s="33"/>
      <c r="D7" s="33"/>
      <c r="E7" s="33"/>
      <c r="F7" s="30"/>
      <c r="G7" s="30"/>
      <c r="H7" s="30"/>
      <c r="I7" s="30"/>
      <c r="J7" s="30"/>
      <c r="K7" s="31" t="str">
        <f aca="false">IFERROR(AVERAGE(F7:J7),"")</f>
        <v/>
      </c>
      <c r="L7" s="33"/>
    </row>
    <row r="8" customFormat="false" ht="54.75" hidden="false" customHeight="true" outlineLevel="0" collapsed="false">
      <c r="B8" s="29" t="n">
        <v>3</v>
      </c>
      <c r="C8" s="8"/>
      <c r="D8" s="8"/>
      <c r="E8" s="8"/>
      <c r="F8" s="30"/>
      <c r="G8" s="30"/>
      <c r="H8" s="30"/>
      <c r="I8" s="30"/>
      <c r="J8" s="30"/>
      <c r="K8" s="31" t="str">
        <f aca="false">IFERROR(AVERAGE(F8:J8),"")</f>
        <v/>
      </c>
      <c r="L8" s="8"/>
    </row>
    <row r="9" customFormat="false" ht="54.75" hidden="false" customHeight="true" outlineLevel="0" collapsed="false">
      <c r="B9" s="32" t="n">
        <v>4</v>
      </c>
      <c r="C9" s="33"/>
      <c r="D9" s="33"/>
      <c r="E9" s="33"/>
      <c r="F9" s="30"/>
      <c r="G9" s="30"/>
      <c r="H9" s="30"/>
      <c r="I9" s="30"/>
      <c r="J9" s="30"/>
      <c r="K9" s="31" t="str">
        <f aca="false">IFERROR(AVERAGE(F9:J9),"")</f>
        <v/>
      </c>
      <c r="L9" s="33"/>
    </row>
    <row r="10" customFormat="false" ht="54.75" hidden="false" customHeight="true" outlineLevel="0" collapsed="false">
      <c r="B10" s="29" t="n">
        <v>5</v>
      </c>
      <c r="C10" s="8"/>
      <c r="D10" s="8"/>
      <c r="E10" s="8"/>
      <c r="F10" s="30"/>
      <c r="G10" s="30"/>
      <c r="H10" s="30"/>
      <c r="I10" s="30"/>
      <c r="J10" s="30"/>
      <c r="K10" s="31" t="str">
        <f aca="false">IFERROR(AVERAGE(F10:J10),"")</f>
        <v/>
      </c>
      <c r="L10" s="8"/>
    </row>
    <row r="11" customFormat="false" ht="54.75" hidden="false" customHeight="true" outlineLevel="0" collapsed="false">
      <c r="B11" s="32" t="n">
        <v>6</v>
      </c>
      <c r="C11" s="33"/>
      <c r="D11" s="33"/>
      <c r="E11" s="33"/>
      <c r="F11" s="30"/>
      <c r="G11" s="30"/>
      <c r="H11" s="30"/>
      <c r="I11" s="30"/>
      <c r="J11" s="30"/>
      <c r="K11" s="31" t="str">
        <f aca="false">IFERROR(AVERAGE(F11:J11),"")</f>
        <v/>
      </c>
      <c r="L11" s="33"/>
    </row>
    <row r="12" customFormat="false" ht="54.75" hidden="false" customHeight="true" outlineLevel="0" collapsed="false">
      <c r="B12" s="29" t="n">
        <v>7</v>
      </c>
      <c r="C12" s="8"/>
      <c r="D12" s="8"/>
      <c r="E12" s="8"/>
      <c r="F12" s="30"/>
      <c r="G12" s="30"/>
      <c r="H12" s="30"/>
      <c r="I12" s="30"/>
      <c r="J12" s="30"/>
      <c r="K12" s="31" t="str">
        <f aca="false">IFERROR(AVERAGE(F12:J12),"")</f>
        <v/>
      </c>
      <c r="L12" s="8"/>
    </row>
    <row r="13" customFormat="false" ht="54.75" hidden="false" customHeight="true" outlineLevel="0" collapsed="false">
      <c r="B13" s="32" t="n">
        <v>8</v>
      </c>
      <c r="C13" s="33"/>
      <c r="D13" s="33"/>
      <c r="E13" s="33"/>
      <c r="F13" s="30"/>
      <c r="G13" s="30"/>
      <c r="H13" s="30"/>
      <c r="I13" s="30"/>
      <c r="J13" s="30"/>
      <c r="K13" s="31" t="str">
        <f aca="false">IFERROR(AVERAGE(F13:J13),"")</f>
        <v/>
      </c>
      <c r="L13" s="33"/>
    </row>
    <row r="14" customFormat="false" ht="54.75" hidden="false" customHeight="true" outlineLevel="0" collapsed="false">
      <c r="B14" s="29" t="n">
        <v>9</v>
      </c>
      <c r="C14" s="8"/>
      <c r="D14" s="8"/>
      <c r="E14" s="8"/>
      <c r="F14" s="30"/>
      <c r="G14" s="30"/>
      <c r="H14" s="30"/>
      <c r="I14" s="30"/>
      <c r="J14" s="30"/>
      <c r="K14" s="31" t="str">
        <f aca="false">IFERROR(AVERAGE(F14:J14),"")</f>
        <v/>
      </c>
      <c r="L14" s="8"/>
    </row>
    <row r="15" customFormat="false" ht="54.75" hidden="false" customHeight="true" outlineLevel="0" collapsed="false">
      <c r="B15" s="32" t="n">
        <v>10</v>
      </c>
      <c r="C15" s="33"/>
      <c r="D15" s="33"/>
      <c r="E15" s="33"/>
      <c r="F15" s="30"/>
      <c r="G15" s="30"/>
      <c r="H15" s="30"/>
      <c r="I15" s="30"/>
      <c r="J15" s="30"/>
      <c r="K15" s="31" t="str">
        <f aca="false">IFERROR(AVERAGE(F15:J15),"")</f>
        <v/>
      </c>
      <c r="L15" s="33"/>
    </row>
    <row r="16" customFormat="false" ht="54.75" hidden="false" customHeight="true" outlineLevel="0" collapsed="false">
      <c r="B16" s="29" t="n">
        <v>11</v>
      </c>
      <c r="C16" s="8"/>
      <c r="D16" s="8"/>
      <c r="E16" s="8"/>
      <c r="F16" s="30"/>
      <c r="G16" s="30"/>
      <c r="H16" s="30"/>
      <c r="I16" s="30"/>
      <c r="J16" s="30"/>
      <c r="K16" s="31" t="str">
        <f aca="false">IFERROR(AVERAGE(F16:J16),"")</f>
        <v/>
      </c>
      <c r="L16" s="8"/>
    </row>
    <row r="17" customFormat="false" ht="54.75" hidden="false" customHeight="true" outlineLevel="0" collapsed="false">
      <c r="B17" s="32" t="n">
        <v>12</v>
      </c>
      <c r="C17" s="33"/>
      <c r="D17" s="33"/>
      <c r="E17" s="33"/>
      <c r="F17" s="30"/>
      <c r="G17" s="30"/>
      <c r="H17" s="30"/>
      <c r="I17" s="30"/>
      <c r="J17" s="30"/>
      <c r="K17" s="31" t="str">
        <f aca="false">IFERROR(AVERAGE(F17:J17),"")</f>
        <v/>
      </c>
      <c r="L17" s="33"/>
    </row>
    <row r="18" customFormat="false" ht="54.75" hidden="false" customHeight="true" outlineLevel="0" collapsed="false">
      <c r="B18" s="29" t="n">
        <v>13</v>
      </c>
      <c r="C18" s="8"/>
      <c r="D18" s="8"/>
      <c r="E18" s="8"/>
      <c r="F18" s="30"/>
      <c r="G18" s="30"/>
      <c r="H18" s="30"/>
      <c r="I18" s="30"/>
      <c r="J18" s="30"/>
      <c r="K18" s="31" t="str">
        <f aca="false">IFERROR(AVERAGE(F18:J18),"")</f>
        <v/>
      </c>
      <c r="L18" s="8"/>
    </row>
    <row r="19" customFormat="false" ht="54.75" hidden="false" customHeight="true" outlineLevel="0" collapsed="false">
      <c r="B19" s="32" t="n">
        <v>14</v>
      </c>
      <c r="C19" s="33"/>
      <c r="D19" s="33"/>
      <c r="E19" s="33"/>
      <c r="F19" s="30"/>
      <c r="G19" s="30"/>
      <c r="H19" s="30"/>
      <c r="I19" s="30"/>
      <c r="J19" s="30"/>
      <c r="K19" s="31" t="str">
        <f aca="false">IFERROR(AVERAGE(F19:J19),"")</f>
        <v/>
      </c>
      <c r="L19" s="33"/>
    </row>
    <row r="20" customFormat="false" ht="54.75" hidden="false" customHeight="true" outlineLevel="0" collapsed="false">
      <c r="B20" s="29" t="n">
        <v>15</v>
      </c>
      <c r="C20" s="8"/>
      <c r="D20" s="8"/>
      <c r="E20" s="8"/>
      <c r="F20" s="30"/>
      <c r="G20" s="30"/>
      <c r="H20" s="30"/>
      <c r="I20" s="30"/>
      <c r="J20" s="30"/>
      <c r="K20" s="31" t="str">
        <f aca="false">IFERROR(AVERAGE(F20:J20),"")</f>
        <v/>
      </c>
      <c r="L20" s="8"/>
    </row>
    <row r="21" customFormat="false" ht="54.75" hidden="false" customHeight="true" outlineLevel="0" collapsed="false">
      <c r="B21" s="32" t="n">
        <v>16</v>
      </c>
      <c r="C21" s="33"/>
      <c r="D21" s="33"/>
      <c r="E21" s="33"/>
      <c r="F21" s="30"/>
      <c r="G21" s="30"/>
      <c r="H21" s="30"/>
      <c r="I21" s="30"/>
      <c r="J21" s="30"/>
      <c r="K21" s="31" t="str">
        <f aca="false">IFERROR(AVERAGE(F21:J21),"")</f>
        <v/>
      </c>
      <c r="L21" s="33"/>
    </row>
    <row r="22" customFormat="false" ht="54.75" hidden="false" customHeight="true" outlineLevel="0" collapsed="false">
      <c r="B22" s="29" t="n">
        <v>17</v>
      </c>
      <c r="C22" s="8"/>
      <c r="D22" s="8"/>
      <c r="E22" s="8"/>
      <c r="F22" s="30"/>
      <c r="G22" s="30"/>
      <c r="H22" s="30"/>
      <c r="I22" s="30"/>
      <c r="J22" s="30"/>
      <c r="K22" s="31" t="str">
        <f aca="false">IFERROR(AVERAGE(F22:J22),"")</f>
        <v/>
      </c>
      <c r="L22" s="8"/>
    </row>
    <row r="23" customFormat="false" ht="54.75" hidden="false" customHeight="true" outlineLevel="0" collapsed="false">
      <c r="B23" s="32" t="n">
        <v>18</v>
      </c>
      <c r="C23" s="33"/>
      <c r="D23" s="33"/>
      <c r="E23" s="33"/>
      <c r="F23" s="30"/>
      <c r="G23" s="30"/>
      <c r="H23" s="30"/>
      <c r="I23" s="30"/>
      <c r="J23" s="30"/>
      <c r="K23" s="31" t="str">
        <f aca="false">IFERROR(AVERAGE(F23:J23),"")</f>
        <v/>
      </c>
      <c r="L23" s="33"/>
    </row>
    <row r="24" customFormat="false" ht="54.75" hidden="false" customHeight="true" outlineLevel="0" collapsed="false">
      <c r="B24" s="29" t="n">
        <v>19</v>
      </c>
      <c r="C24" s="8"/>
      <c r="D24" s="8"/>
      <c r="E24" s="8"/>
      <c r="F24" s="30"/>
      <c r="G24" s="30"/>
      <c r="H24" s="30"/>
      <c r="I24" s="30"/>
      <c r="J24" s="30"/>
      <c r="K24" s="31" t="str">
        <f aca="false">IFERROR(AVERAGE(F24:J24),"")</f>
        <v/>
      </c>
      <c r="L24" s="8"/>
    </row>
    <row r="25" customFormat="false" ht="54.75" hidden="false" customHeight="true" outlineLevel="0" collapsed="false">
      <c r="B25" s="32" t="n">
        <v>20</v>
      </c>
      <c r="C25" s="33"/>
      <c r="D25" s="33"/>
      <c r="E25" s="33"/>
      <c r="F25" s="30"/>
      <c r="G25" s="30"/>
      <c r="H25" s="30"/>
      <c r="I25" s="30"/>
      <c r="J25" s="30"/>
      <c r="K25" s="31" t="str">
        <f aca="false">IFERROR(AVERAGE(F25:J25),"")</f>
        <v/>
      </c>
      <c r="L25" s="33"/>
    </row>
    <row r="26" customFormat="false" ht="54.75" hidden="false" customHeight="true" outlineLevel="0" collapsed="false">
      <c r="B26" s="29" t="n">
        <v>21</v>
      </c>
      <c r="C26" s="8"/>
      <c r="D26" s="8"/>
      <c r="E26" s="8"/>
      <c r="F26" s="30"/>
      <c r="G26" s="30"/>
      <c r="H26" s="30"/>
      <c r="I26" s="30"/>
      <c r="J26" s="30"/>
      <c r="K26" s="31" t="str">
        <f aca="false">IFERROR(AVERAGE(F26:J26),"")</f>
        <v/>
      </c>
      <c r="L26" s="8"/>
    </row>
    <row r="27" customFormat="false" ht="54.75" hidden="false" customHeight="true" outlineLevel="0" collapsed="false">
      <c r="B27" s="32" t="n">
        <v>22</v>
      </c>
      <c r="C27" s="33"/>
      <c r="D27" s="33"/>
      <c r="E27" s="33"/>
      <c r="F27" s="30"/>
      <c r="G27" s="30"/>
      <c r="H27" s="30"/>
      <c r="I27" s="30"/>
      <c r="J27" s="30"/>
      <c r="K27" s="31" t="str">
        <f aca="false">IFERROR(AVERAGE(F27:J27),"")</f>
        <v/>
      </c>
      <c r="L27" s="33"/>
    </row>
    <row r="28" customFormat="false" ht="54.75" hidden="false" customHeight="true" outlineLevel="0" collapsed="false">
      <c r="B28" s="29" t="n">
        <v>23</v>
      </c>
      <c r="C28" s="8"/>
      <c r="D28" s="8"/>
      <c r="E28" s="8"/>
      <c r="F28" s="30"/>
      <c r="G28" s="30"/>
      <c r="H28" s="30"/>
      <c r="I28" s="30"/>
      <c r="J28" s="30"/>
      <c r="K28" s="31" t="str">
        <f aca="false">IFERROR(AVERAGE(F28:J28),"")</f>
        <v/>
      </c>
      <c r="L28" s="8"/>
    </row>
    <row r="29" customFormat="false" ht="54.75" hidden="false" customHeight="true" outlineLevel="0" collapsed="false">
      <c r="B29" s="32" t="n">
        <v>24</v>
      </c>
      <c r="C29" s="33"/>
      <c r="D29" s="33"/>
      <c r="E29" s="33"/>
      <c r="F29" s="30"/>
      <c r="G29" s="30"/>
      <c r="H29" s="30"/>
      <c r="I29" s="30"/>
      <c r="J29" s="30"/>
      <c r="K29" s="31" t="str">
        <f aca="false">IFERROR(AVERAGE(F29:J29),"")</f>
        <v/>
      </c>
      <c r="L29" s="33"/>
    </row>
    <row r="30" customFormat="false" ht="54.75" hidden="false" customHeight="true" outlineLevel="0" collapsed="false">
      <c r="B30" s="29" t="n">
        <v>25</v>
      </c>
      <c r="C30" s="8"/>
      <c r="D30" s="8"/>
      <c r="E30" s="8"/>
      <c r="F30" s="30"/>
      <c r="G30" s="30"/>
      <c r="H30" s="30"/>
      <c r="I30" s="30"/>
      <c r="J30" s="30"/>
      <c r="K30" s="31" t="str">
        <f aca="false">IFERROR(AVERAGE(F30:J30),"")</f>
        <v/>
      </c>
      <c r="L30" s="8"/>
    </row>
    <row r="31" customFormat="false" ht="54.75" hidden="false" customHeight="true" outlineLevel="0" collapsed="false">
      <c r="B31" s="32" t="n">
        <v>26</v>
      </c>
      <c r="C31" s="33"/>
      <c r="D31" s="33"/>
      <c r="E31" s="33"/>
      <c r="F31" s="30"/>
      <c r="G31" s="30"/>
      <c r="H31" s="30"/>
      <c r="I31" s="30"/>
      <c r="J31" s="30"/>
      <c r="K31" s="31" t="str">
        <f aca="false">IFERROR(AVERAGE(F31:J31),"")</f>
        <v/>
      </c>
      <c r="L31" s="33"/>
    </row>
    <row r="32" customFormat="false" ht="54.75" hidden="false" customHeight="true" outlineLevel="0" collapsed="false">
      <c r="B32" s="29" t="n">
        <v>27</v>
      </c>
      <c r="C32" s="8"/>
      <c r="D32" s="8"/>
      <c r="E32" s="8"/>
      <c r="F32" s="30"/>
      <c r="G32" s="30"/>
      <c r="H32" s="30"/>
      <c r="I32" s="30"/>
      <c r="J32" s="30"/>
      <c r="K32" s="31" t="str">
        <f aca="false">IFERROR(AVERAGE(F32:J32),"")</f>
        <v/>
      </c>
      <c r="L32" s="8"/>
    </row>
    <row r="33" customFormat="false" ht="54.75" hidden="false" customHeight="true" outlineLevel="0" collapsed="false">
      <c r="B33" s="32" t="n">
        <v>28</v>
      </c>
      <c r="C33" s="33"/>
      <c r="D33" s="33"/>
      <c r="E33" s="33"/>
      <c r="F33" s="30"/>
      <c r="G33" s="30"/>
      <c r="H33" s="30"/>
      <c r="I33" s="30"/>
      <c r="J33" s="30"/>
      <c r="K33" s="31" t="str">
        <f aca="false">IFERROR(AVERAGE(F33:J33),"")</f>
        <v/>
      </c>
      <c r="L33" s="33"/>
    </row>
    <row r="34" customFormat="false" ht="54.75" hidden="false" customHeight="true" outlineLevel="0" collapsed="false">
      <c r="B34" s="29" t="n">
        <v>29</v>
      </c>
      <c r="C34" s="8"/>
      <c r="D34" s="8"/>
      <c r="E34" s="8"/>
      <c r="F34" s="30"/>
      <c r="G34" s="30"/>
      <c r="H34" s="30"/>
      <c r="I34" s="30"/>
      <c r="J34" s="30"/>
      <c r="K34" s="31" t="str">
        <f aca="false">IFERROR(AVERAGE(F34:J34),"")</f>
        <v/>
      </c>
      <c r="L34" s="8"/>
    </row>
    <row r="35" customFormat="false" ht="54.75" hidden="false" customHeight="true" outlineLevel="0" collapsed="false">
      <c r="B35" s="32" t="n">
        <v>30</v>
      </c>
      <c r="C35" s="33"/>
      <c r="D35" s="33"/>
      <c r="E35" s="33"/>
      <c r="F35" s="30"/>
      <c r="G35" s="30"/>
      <c r="H35" s="30"/>
      <c r="I35" s="30"/>
      <c r="J35" s="30"/>
      <c r="K35" s="31" t="str">
        <f aca="false">IFERROR(AVERAGE(F35:J35),"")</f>
        <v/>
      </c>
      <c r="L35" s="33"/>
    </row>
    <row r="36" customFormat="false" ht="54.75" hidden="false" customHeight="true" outlineLevel="0" collapsed="false">
      <c r="B36" s="29" t="n">
        <v>31</v>
      </c>
      <c r="C36" s="8"/>
      <c r="D36" s="8"/>
      <c r="E36" s="8"/>
      <c r="F36" s="30"/>
      <c r="G36" s="30"/>
      <c r="H36" s="30"/>
      <c r="I36" s="30"/>
      <c r="J36" s="30"/>
      <c r="K36" s="31" t="str">
        <f aca="false">IFERROR(AVERAGE(F36:J36),"")</f>
        <v/>
      </c>
      <c r="L36" s="8"/>
    </row>
    <row r="37" customFormat="false" ht="27.75" hidden="false" customHeight="true" outlineLevel="0" collapsed="false">
      <c r="B37" s="34" t="s">
        <v>53</v>
      </c>
      <c r="C37" s="34"/>
      <c r="D37" s="34"/>
      <c r="E37" s="34"/>
      <c r="F37" s="35" t="str">
        <f aca="false">IFERROR(AVERAGE(F6:F36),"")</f>
        <v/>
      </c>
      <c r="G37" s="35" t="str">
        <f aca="false">IFERROR(AVERAGE(G6:G36),"")</f>
        <v/>
      </c>
      <c r="H37" s="35" t="str">
        <f aca="false">IFERROR(AVERAGE(H6:H36),"")</f>
        <v/>
      </c>
      <c r="I37" s="35" t="str">
        <f aca="false">IFERROR(AVERAGE(I6:I36),"")</f>
        <v/>
      </c>
      <c r="J37" s="35" t="str">
        <f aca="false">IFERROR(AVERAGE(J6:J36),"")</f>
        <v/>
      </c>
      <c r="K37" s="36" t="str">
        <f aca="false">IFERROR(AVERAGE(F37:J37),"")</f>
        <v/>
      </c>
      <c r="L37" s="37"/>
    </row>
  </sheetData>
  <mergeCells count="2">
    <mergeCell ref="B2:K2"/>
    <mergeCell ref="B37:E37"/>
  </mergeCells>
  <conditionalFormatting sqref="K6:K36">
    <cfRule type="colorScale" priority="2">
      <colorScale>
        <cfvo type="num" val="1"/>
        <cfvo type="num" val="3"/>
        <cfvo type="num" val="5"/>
        <color rgb="FFFF0000"/>
        <color rgb="FFFFFF00"/>
        <color rgb="FF00B050"/>
      </colorScale>
    </cfRule>
  </conditionalFormatting>
  <dataValidations count="1">
    <dataValidation allowBlank="false" error="Unesite broj od 1 do 5" errorStyle="stop" errorTitle="Nevažeći unos" operator="between" prompt="Ocjena: 1=Nedovoljno … 5=Izvrsno" promptTitle="Ocjena" showDropDown="false" showErrorMessage="false" showInputMessage="false" sqref="F6:J3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5" min="3" style="0" width="45"/>
    <col collapsed="false" customWidth="true" hidden="false" outlineLevel="0" max="8" min="6" style="0" width="18"/>
    <col collapsed="false" customWidth="true" hidden="false" outlineLevel="0" max="9" min="9" style="0" width="22"/>
  </cols>
  <sheetData>
    <row r="2" customFormat="false" ht="36" hidden="false" customHeight="true" outlineLevel="0" collapsed="false">
      <c r="B2" s="40" t="s">
        <v>58</v>
      </c>
      <c r="C2" s="40"/>
      <c r="D2" s="40"/>
      <c r="E2" s="40"/>
      <c r="F2" s="40"/>
      <c r="G2" s="40"/>
      <c r="H2" s="40"/>
      <c r="I2" s="40"/>
    </row>
    <row r="3" customFormat="false" ht="39.75" hidden="false" customHeight="true" outlineLevel="0" collapsed="false">
      <c r="B3" s="41" t="s">
        <v>59</v>
      </c>
      <c r="C3" s="41"/>
      <c r="D3" s="41"/>
      <c r="E3" s="41"/>
      <c r="F3" s="41"/>
      <c r="G3" s="41"/>
      <c r="H3" s="41"/>
      <c r="I3" s="41"/>
    </row>
    <row r="4" customFormat="false" ht="7.5" hidden="false" customHeight="true" outlineLevel="0" collapsed="false"/>
    <row r="5" customFormat="false" ht="49.5" hidden="false" customHeight="true" outlineLevel="0" collapsed="false">
      <c r="B5" s="28" t="s">
        <v>47</v>
      </c>
      <c r="C5" s="28" t="s">
        <v>48</v>
      </c>
      <c r="D5" s="28" t="s">
        <v>49</v>
      </c>
      <c r="E5" s="28" t="s">
        <v>50</v>
      </c>
      <c r="F5" s="42" t="s">
        <v>60</v>
      </c>
      <c r="G5" s="43" t="s">
        <v>61</v>
      </c>
      <c r="H5" s="44" t="s">
        <v>62</v>
      </c>
      <c r="I5" s="28" t="s">
        <v>63</v>
      </c>
    </row>
    <row r="6" customFormat="false" ht="45" hidden="false" customHeight="true" outlineLevel="0" collapsed="false">
      <c r="B6" s="29" t="n">
        <v>1</v>
      </c>
      <c r="C6" s="8"/>
      <c r="D6" s="8"/>
      <c r="E6" s="8"/>
      <c r="F6" s="45"/>
      <c r="G6" s="46"/>
      <c r="H6" s="47"/>
      <c r="I6" s="48" t="str">
        <f aca="false">IFERROR(AVERAGE(F6:H6),"")</f>
        <v/>
      </c>
    </row>
    <row r="7" customFormat="false" ht="45" hidden="false" customHeight="true" outlineLevel="0" collapsed="false">
      <c r="B7" s="32" t="n">
        <v>2</v>
      </c>
      <c r="C7" s="33"/>
      <c r="D7" s="33"/>
      <c r="E7" s="33"/>
      <c r="F7" s="45"/>
      <c r="G7" s="46"/>
      <c r="H7" s="47"/>
      <c r="I7" s="48" t="str">
        <f aca="false">IFERROR(AVERAGE(F7:H7),"")</f>
        <v/>
      </c>
    </row>
    <row r="8" customFormat="false" ht="45" hidden="false" customHeight="true" outlineLevel="0" collapsed="false">
      <c r="B8" s="29" t="n">
        <v>3</v>
      </c>
      <c r="C8" s="8"/>
      <c r="D8" s="8"/>
      <c r="E8" s="8"/>
      <c r="F8" s="45"/>
      <c r="G8" s="46"/>
      <c r="H8" s="47"/>
      <c r="I8" s="48" t="str">
        <f aca="false">IFERROR(AVERAGE(F8:H8),"")</f>
        <v/>
      </c>
    </row>
    <row r="9" customFormat="false" ht="45" hidden="false" customHeight="true" outlineLevel="0" collapsed="false">
      <c r="B9" s="32" t="n">
        <v>4</v>
      </c>
      <c r="C9" s="33"/>
      <c r="D9" s="33"/>
      <c r="E9" s="33"/>
      <c r="F9" s="45"/>
      <c r="G9" s="46"/>
      <c r="H9" s="47"/>
      <c r="I9" s="48" t="str">
        <f aca="false">IFERROR(AVERAGE(F9:H9),"")</f>
        <v/>
      </c>
    </row>
    <row r="10" customFormat="false" ht="45" hidden="false" customHeight="true" outlineLevel="0" collapsed="false">
      <c r="B10" s="29" t="n">
        <v>5</v>
      </c>
      <c r="C10" s="8"/>
      <c r="D10" s="8"/>
      <c r="E10" s="8"/>
      <c r="F10" s="45"/>
      <c r="G10" s="46"/>
      <c r="H10" s="47"/>
      <c r="I10" s="48" t="str">
        <f aca="false">IFERROR(AVERAGE(F10:H10),"")</f>
        <v/>
      </c>
    </row>
    <row r="11" customFormat="false" ht="45" hidden="false" customHeight="true" outlineLevel="0" collapsed="false">
      <c r="B11" s="32" t="n">
        <v>6</v>
      </c>
      <c r="C11" s="33"/>
      <c r="D11" s="33"/>
      <c r="E11" s="33"/>
      <c r="F11" s="45"/>
      <c r="G11" s="46"/>
      <c r="H11" s="47"/>
      <c r="I11" s="48" t="str">
        <f aca="false">IFERROR(AVERAGE(F11:H11),"")</f>
        <v/>
      </c>
    </row>
    <row r="12" customFormat="false" ht="45" hidden="false" customHeight="true" outlineLevel="0" collapsed="false">
      <c r="B12" s="29" t="n">
        <v>7</v>
      </c>
      <c r="C12" s="8"/>
      <c r="D12" s="8"/>
      <c r="E12" s="8"/>
      <c r="F12" s="45"/>
      <c r="G12" s="46"/>
      <c r="H12" s="47"/>
      <c r="I12" s="48" t="str">
        <f aca="false">IFERROR(AVERAGE(F12:H12),"")</f>
        <v/>
      </c>
    </row>
    <row r="13" customFormat="false" ht="45" hidden="false" customHeight="true" outlineLevel="0" collapsed="false">
      <c r="B13" s="32" t="n">
        <v>8</v>
      </c>
      <c r="C13" s="33"/>
      <c r="D13" s="33"/>
      <c r="E13" s="33"/>
      <c r="F13" s="45"/>
      <c r="G13" s="46"/>
      <c r="H13" s="47"/>
      <c r="I13" s="48" t="str">
        <f aca="false">IFERROR(AVERAGE(F13:H13),"")</f>
        <v/>
      </c>
    </row>
    <row r="14" customFormat="false" ht="45" hidden="false" customHeight="true" outlineLevel="0" collapsed="false">
      <c r="B14" s="29" t="n">
        <v>9</v>
      </c>
      <c r="C14" s="8"/>
      <c r="D14" s="8"/>
      <c r="E14" s="8"/>
      <c r="F14" s="45"/>
      <c r="G14" s="46"/>
      <c r="H14" s="47"/>
      <c r="I14" s="48" t="str">
        <f aca="false">IFERROR(AVERAGE(F14:H14),"")</f>
        <v/>
      </c>
    </row>
    <row r="15" customFormat="false" ht="45" hidden="false" customHeight="true" outlineLevel="0" collapsed="false">
      <c r="B15" s="32" t="n">
        <v>10</v>
      </c>
      <c r="C15" s="33"/>
      <c r="D15" s="33"/>
      <c r="E15" s="33"/>
      <c r="F15" s="45"/>
      <c r="G15" s="46"/>
      <c r="H15" s="47"/>
      <c r="I15" s="48" t="str">
        <f aca="false">IFERROR(AVERAGE(F15:H15),"")</f>
        <v/>
      </c>
    </row>
    <row r="16" customFormat="false" ht="45" hidden="false" customHeight="true" outlineLevel="0" collapsed="false">
      <c r="B16" s="29" t="n">
        <v>11</v>
      </c>
      <c r="C16" s="8"/>
      <c r="D16" s="8"/>
      <c r="E16" s="8"/>
      <c r="F16" s="45"/>
      <c r="G16" s="46"/>
      <c r="H16" s="47"/>
      <c r="I16" s="48" t="str">
        <f aca="false">IFERROR(AVERAGE(F16:H16),"")</f>
        <v/>
      </c>
    </row>
    <row r="17" customFormat="false" ht="45" hidden="false" customHeight="true" outlineLevel="0" collapsed="false">
      <c r="B17" s="32" t="n">
        <v>12</v>
      </c>
      <c r="C17" s="33"/>
      <c r="D17" s="33"/>
      <c r="E17" s="33"/>
      <c r="F17" s="45"/>
      <c r="G17" s="46"/>
      <c r="H17" s="47"/>
      <c r="I17" s="48" t="str">
        <f aca="false">IFERROR(AVERAGE(F17:H17),"")</f>
        <v/>
      </c>
    </row>
    <row r="18" customFormat="false" ht="45" hidden="false" customHeight="true" outlineLevel="0" collapsed="false">
      <c r="B18" s="29" t="n">
        <v>13</v>
      </c>
      <c r="C18" s="8"/>
      <c r="D18" s="8"/>
      <c r="E18" s="8"/>
      <c r="F18" s="45"/>
      <c r="G18" s="46"/>
      <c r="H18" s="47"/>
      <c r="I18" s="48" t="str">
        <f aca="false">IFERROR(AVERAGE(F18:H18),"")</f>
        <v/>
      </c>
    </row>
    <row r="19" customFormat="false" ht="45" hidden="false" customHeight="true" outlineLevel="0" collapsed="false">
      <c r="B19" s="32" t="n">
        <v>14</v>
      </c>
      <c r="C19" s="33"/>
      <c r="D19" s="33"/>
      <c r="E19" s="33"/>
      <c r="F19" s="45"/>
      <c r="G19" s="46"/>
      <c r="H19" s="47"/>
      <c r="I19" s="48" t="str">
        <f aca="false">IFERROR(AVERAGE(F19:H19),"")</f>
        <v/>
      </c>
    </row>
    <row r="20" customFormat="false" ht="45" hidden="false" customHeight="true" outlineLevel="0" collapsed="false">
      <c r="B20" s="29" t="n">
        <v>15</v>
      </c>
      <c r="C20" s="8"/>
      <c r="D20" s="8"/>
      <c r="E20" s="8"/>
      <c r="F20" s="45"/>
      <c r="G20" s="46"/>
      <c r="H20" s="47"/>
      <c r="I20" s="48" t="str">
        <f aca="false">IFERROR(AVERAGE(F20:H20),"")</f>
        <v/>
      </c>
    </row>
    <row r="21" customFormat="false" ht="45" hidden="false" customHeight="true" outlineLevel="0" collapsed="false">
      <c r="B21" s="32" t="n">
        <v>16</v>
      </c>
      <c r="C21" s="33"/>
      <c r="D21" s="33"/>
      <c r="E21" s="33"/>
      <c r="F21" s="45"/>
      <c r="G21" s="46"/>
      <c r="H21" s="47"/>
      <c r="I21" s="48" t="str">
        <f aca="false">IFERROR(AVERAGE(F21:H21),"")</f>
        <v/>
      </c>
    </row>
    <row r="22" customFormat="false" ht="45" hidden="false" customHeight="true" outlineLevel="0" collapsed="false">
      <c r="B22" s="29" t="n">
        <v>17</v>
      </c>
      <c r="C22" s="8"/>
      <c r="D22" s="8"/>
      <c r="E22" s="8"/>
      <c r="F22" s="45"/>
      <c r="G22" s="46"/>
      <c r="H22" s="47"/>
      <c r="I22" s="48" t="str">
        <f aca="false">IFERROR(AVERAGE(F22:H22),"")</f>
        <v/>
      </c>
    </row>
    <row r="23" customFormat="false" ht="45" hidden="false" customHeight="true" outlineLevel="0" collapsed="false">
      <c r="B23" s="32" t="n">
        <v>18</v>
      </c>
      <c r="C23" s="33"/>
      <c r="D23" s="33"/>
      <c r="E23" s="33"/>
      <c r="F23" s="45"/>
      <c r="G23" s="46"/>
      <c r="H23" s="47"/>
      <c r="I23" s="48" t="str">
        <f aca="false">IFERROR(AVERAGE(F23:H23),"")</f>
        <v/>
      </c>
    </row>
    <row r="24" customFormat="false" ht="45" hidden="false" customHeight="true" outlineLevel="0" collapsed="false">
      <c r="B24" s="29" t="n">
        <v>19</v>
      </c>
      <c r="C24" s="8"/>
      <c r="D24" s="8"/>
      <c r="E24" s="8"/>
      <c r="F24" s="45"/>
      <c r="G24" s="46"/>
      <c r="H24" s="47"/>
      <c r="I24" s="48" t="str">
        <f aca="false">IFERROR(AVERAGE(F24:H24),"")</f>
        <v/>
      </c>
    </row>
    <row r="25" customFormat="false" ht="45" hidden="false" customHeight="true" outlineLevel="0" collapsed="false">
      <c r="B25" s="32" t="n">
        <v>20</v>
      </c>
      <c r="C25" s="33"/>
      <c r="D25" s="33"/>
      <c r="E25" s="33"/>
      <c r="F25" s="45"/>
      <c r="G25" s="46"/>
      <c r="H25" s="47"/>
      <c r="I25" s="48" t="str">
        <f aca="false">IFERROR(AVERAGE(F25:H25),"")</f>
        <v/>
      </c>
    </row>
    <row r="26" customFormat="false" ht="45" hidden="false" customHeight="true" outlineLevel="0" collapsed="false">
      <c r="B26" s="29" t="n">
        <v>21</v>
      </c>
      <c r="C26" s="8"/>
      <c r="D26" s="8"/>
      <c r="E26" s="8"/>
      <c r="F26" s="45"/>
      <c r="G26" s="46"/>
      <c r="H26" s="47"/>
      <c r="I26" s="48" t="str">
        <f aca="false">IFERROR(AVERAGE(F26:H26),"")</f>
        <v/>
      </c>
    </row>
    <row r="27" customFormat="false" ht="45" hidden="false" customHeight="true" outlineLevel="0" collapsed="false">
      <c r="B27" s="32" t="n">
        <v>22</v>
      </c>
      <c r="C27" s="33"/>
      <c r="D27" s="33"/>
      <c r="E27" s="33"/>
      <c r="F27" s="45"/>
      <c r="G27" s="46"/>
      <c r="H27" s="47"/>
      <c r="I27" s="48" t="str">
        <f aca="false">IFERROR(AVERAGE(F27:H27),"")</f>
        <v/>
      </c>
    </row>
    <row r="28" customFormat="false" ht="45" hidden="false" customHeight="true" outlineLevel="0" collapsed="false">
      <c r="B28" s="29" t="n">
        <v>23</v>
      </c>
      <c r="C28" s="8"/>
      <c r="D28" s="8"/>
      <c r="E28" s="8"/>
      <c r="F28" s="45"/>
      <c r="G28" s="46"/>
      <c r="H28" s="47"/>
      <c r="I28" s="48" t="str">
        <f aca="false">IFERROR(AVERAGE(F28:H28),"")</f>
        <v/>
      </c>
    </row>
    <row r="29" customFormat="false" ht="45" hidden="false" customHeight="true" outlineLevel="0" collapsed="false">
      <c r="B29" s="32" t="n">
        <v>24</v>
      </c>
      <c r="C29" s="33"/>
      <c r="D29" s="33"/>
      <c r="E29" s="33"/>
      <c r="F29" s="45"/>
      <c r="G29" s="46"/>
      <c r="H29" s="47"/>
      <c r="I29" s="48" t="str">
        <f aca="false">IFERROR(AVERAGE(F29:H29),"")</f>
        <v/>
      </c>
    </row>
    <row r="30" customFormat="false" ht="45" hidden="false" customHeight="true" outlineLevel="0" collapsed="false">
      <c r="B30" s="29" t="n">
        <v>25</v>
      </c>
      <c r="C30" s="8"/>
      <c r="D30" s="8"/>
      <c r="E30" s="8"/>
      <c r="F30" s="45"/>
      <c r="G30" s="46"/>
      <c r="H30" s="47"/>
      <c r="I30" s="48" t="str">
        <f aca="false">IFERROR(AVERAGE(F30:H30),"")</f>
        <v/>
      </c>
    </row>
    <row r="31" customFormat="false" ht="45" hidden="false" customHeight="true" outlineLevel="0" collapsed="false">
      <c r="B31" s="32" t="n">
        <v>26</v>
      </c>
      <c r="C31" s="33"/>
      <c r="D31" s="33"/>
      <c r="E31" s="33"/>
      <c r="F31" s="45"/>
      <c r="G31" s="46"/>
      <c r="H31" s="47"/>
      <c r="I31" s="48" t="str">
        <f aca="false">IFERROR(AVERAGE(F31:H31),"")</f>
        <v/>
      </c>
    </row>
    <row r="32" customFormat="false" ht="45" hidden="false" customHeight="true" outlineLevel="0" collapsed="false">
      <c r="B32" s="29" t="n">
        <v>27</v>
      </c>
      <c r="C32" s="8"/>
      <c r="D32" s="8"/>
      <c r="E32" s="8"/>
      <c r="F32" s="45"/>
      <c r="G32" s="46"/>
      <c r="H32" s="47"/>
      <c r="I32" s="48" t="str">
        <f aca="false">IFERROR(AVERAGE(F32:H32),"")</f>
        <v/>
      </c>
    </row>
    <row r="33" customFormat="false" ht="45" hidden="false" customHeight="true" outlineLevel="0" collapsed="false">
      <c r="B33" s="32" t="n">
        <v>28</v>
      </c>
      <c r="C33" s="33"/>
      <c r="D33" s="33"/>
      <c r="E33" s="33"/>
      <c r="F33" s="45"/>
      <c r="G33" s="46"/>
      <c r="H33" s="47"/>
      <c r="I33" s="48" t="str">
        <f aca="false">IFERROR(AVERAGE(F33:H33),"")</f>
        <v/>
      </c>
    </row>
    <row r="34" customFormat="false" ht="45" hidden="false" customHeight="true" outlineLevel="0" collapsed="false">
      <c r="B34" s="29" t="n">
        <v>29</v>
      </c>
      <c r="C34" s="8"/>
      <c r="D34" s="8"/>
      <c r="E34" s="8"/>
      <c r="F34" s="45"/>
      <c r="G34" s="46"/>
      <c r="H34" s="47"/>
      <c r="I34" s="48" t="str">
        <f aca="false">IFERROR(AVERAGE(F34:H34),"")</f>
        <v/>
      </c>
    </row>
    <row r="35" customFormat="false" ht="45" hidden="false" customHeight="true" outlineLevel="0" collapsed="false">
      <c r="B35" s="32" t="n">
        <v>30</v>
      </c>
      <c r="C35" s="33"/>
      <c r="D35" s="33"/>
      <c r="E35" s="33"/>
      <c r="F35" s="45"/>
      <c r="G35" s="46"/>
      <c r="H35" s="47"/>
      <c r="I35" s="48" t="str">
        <f aca="false">IFERROR(AVERAGE(F35:H35),"")</f>
        <v/>
      </c>
    </row>
    <row r="36" customFormat="false" ht="45" hidden="false" customHeight="true" outlineLevel="0" collapsed="false">
      <c r="B36" s="29" t="n">
        <v>31</v>
      </c>
      <c r="C36" s="8"/>
      <c r="D36" s="8"/>
      <c r="E36" s="8"/>
      <c r="F36" s="45"/>
      <c r="G36" s="46"/>
      <c r="H36" s="47"/>
      <c r="I36" s="48" t="str">
        <f aca="false">IFERROR(AVERAGE(F36:H36),"")</f>
        <v/>
      </c>
    </row>
    <row r="37" customFormat="false" ht="27.75" hidden="false" customHeight="true" outlineLevel="0" collapsed="false">
      <c r="B37" s="34" t="s">
        <v>64</v>
      </c>
      <c r="C37" s="34"/>
      <c r="D37" s="34"/>
      <c r="E37" s="34"/>
      <c r="F37" s="49" t="str">
        <f aca="false">IFERROR(AVERAGE(F6:F36),"")</f>
        <v/>
      </c>
      <c r="G37" s="49" t="str">
        <f aca="false">IFERROR(AVERAGE(G6:G36),"")</f>
        <v/>
      </c>
      <c r="H37" s="49" t="str">
        <f aca="false">IFERROR(AVERAGE(H6:H36),"")</f>
        <v/>
      </c>
      <c r="I37" s="50" t="str">
        <f aca="false">IFERROR(AVERAGE(I6:I36),"")</f>
        <v/>
      </c>
    </row>
  </sheetData>
  <mergeCells count="3">
    <mergeCell ref="B2:I2"/>
    <mergeCell ref="B3:I3"/>
    <mergeCell ref="B37:E37"/>
  </mergeCells>
  <conditionalFormatting sqref="F6:F36">
    <cfRule type="colorScale" priority="2">
      <colorScale>
        <cfvo type="num" val="0"/>
        <cfvo type="num" val="0.5"/>
        <cfvo type="num" val="1"/>
        <color rgb="FFFF0000"/>
        <color rgb="FFFFFF00"/>
        <color rgb="FF00B050"/>
      </colorScale>
    </cfRule>
  </conditionalFormatting>
  <conditionalFormatting sqref="G6:G36">
    <cfRule type="colorScale" priority="3">
      <colorScale>
        <cfvo type="num" val="0"/>
        <cfvo type="num" val="0.5"/>
        <cfvo type="num" val="1"/>
        <color rgb="FFFF0000"/>
        <color rgb="FFFFFF00"/>
        <color rgb="FF00B050"/>
      </colorScale>
    </cfRule>
  </conditionalFormatting>
  <conditionalFormatting sqref="H6:H36">
    <cfRule type="colorScale" priority="4">
      <colorScale>
        <cfvo type="num" val="0"/>
        <cfvo type="num" val="0.5"/>
        <cfvo type="num" val="1"/>
        <color rgb="FFFF0000"/>
        <color rgb="FFFFFF00"/>
        <color rgb="FF00B050"/>
      </colorScale>
    </cfRule>
  </conditionalFormatting>
  <conditionalFormatting sqref="I6:I36">
    <cfRule type="colorScale" priority="5">
      <colorScale>
        <cfvo type="num" val="0"/>
        <cfvo type="num" val="0.5"/>
        <cfvo type="num" val="1"/>
        <color rgb="FFFF0000"/>
        <color rgb="FFFFFF00"/>
        <color rgb="FF00B050"/>
      </colorScale>
    </cfRule>
  </conditionalFormatting>
  <dataValidations count="1">
    <dataValidation allowBlank="false" error="Unesite broj između 0 i 1" errorStyle="stop" errorTitle="Nevažeći unos" operator="between" prompt="Vrijednost između 0.000 i 1.000" promptTitle="Metrika" showDropDown="false" showErrorMessage="false" showInputMessage="false" sqref="F6:H36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6"/>
    <col collapsed="false" customWidth="true" hidden="false" outlineLevel="0" max="7" min="7" style="1" width="22"/>
  </cols>
  <sheetData>
    <row r="2" customFormat="false" ht="36" hidden="false" customHeight="true" outlineLevel="0" collapsed="false">
      <c r="B2" s="23" t="s">
        <v>65</v>
      </c>
      <c r="C2" s="23"/>
      <c r="D2" s="23"/>
      <c r="E2" s="23"/>
      <c r="F2" s="23"/>
      <c r="G2" s="23"/>
    </row>
    <row r="4" customFormat="false" ht="21.75" hidden="false" customHeight="true" outlineLevel="0" collapsed="false">
      <c r="B4" s="51" t="s">
        <v>66</v>
      </c>
      <c r="C4" s="51"/>
      <c r="D4" s="51"/>
      <c r="E4" s="51"/>
      <c r="F4" s="51"/>
      <c r="G4" s="51"/>
    </row>
    <row r="5" customFormat="false" ht="15" hidden="false" customHeight="true" outlineLevel="0" collapsed="false">
      <c r="B5" s="6" t="s">
        <v>4</v>
      </c>
      <c r="C5" s="6" t="s">
        <v>46</v>
      </c>
      <c r="D5" s="6" t="s">
        <v>67</v>
      </c>
      <c r="E5" s="6" t="s">
        <v>68</v>
      </c>
      <c r="F5" s="6" t="s">
        <v>69</v>
      </c>
      <c r="G5" s="6" t="s">
        <v>70</v>
      </c>
    </row>
    <row r="6" customFormat="false" ht="24" hidden="false" customHeight="true" outlineLevel="0" collapsed="false">
      <c r="B6" s="52" t="s">
        <v>7</v>
      </c>
      <c r="C6" s="53" t="str">
        <f aca="false">'Pravni ekspert'!F37</f>
        <v/>
      </c>
      <c r="D6" s="53" t="str">
        <f aca="false">'Vojni evaluator 1'!F37</f>
        <v/>
      </c>
      <c r="E6" s="53" t="str">
        <f aca="false">'Vojni evaluator 2'!F37</f>
        <v/>
      </c>
      <c r="F6" s="53" t="str">
        <f aca="false">IFERROR(AVERAGE(D6:E6),"")</f>
        <v/>
      </c>
      <c r="G6" s="53" t="str">
        <f aca="false">IFERROR(AVERAGE(C6:E6),"")</f>
        <v/>
      </c>
    </row>
    <row r="7" customFormat="false" ht="24" hidden="false" customHeight="true" outlineLevel="0" collapsed="false">
      <c r="B7" s="7" t="s">
        <v>10</v>
      </c>
      <c r="C7" s="53" t="str">
        <f aca="false">'Pravni ekspert'!G37</f>
        <v/>
      </c>
      <c r="D7" s="53" t="str">
        <f aca="false">'Vojni evaluator 1'!G37</f>
        <v/>
      </c>
      <c r="E7" s="53" t="str">
        <f aca="false">'Vojni evaluator 2'!G37</f>
        <v/>
      </c>
      <c r="F7" s="53" t="str">
        <f aca="false">IFERROR(AVERAGE(D7:E7),"")</f>
        <v/>
      </c>
      <c r="G7" s="53" t="str">
        <f aca="false">IFERROR(AVERAGE(C7:E7),"")</f>
        <v/>
      </c>
    </row>
    <row r="8" customFormat="false" ht="24" hidden="false" customHeight="true" outlineLevel="0" collapsed="false">
      <c r="B8" s="52" t="s">
        <v>12</v>
      </c>
      <c r="C8" s="53" t="str">
        <f aca="false">'Pravni ekspert'!H37</f>
        <v/>
      </c>
      <c r="D8" s="53" t="str">
        <f aca="false">'Vojni evaluator 1'!H37</f>
        <v/>
      </c>
      <c r="E8" s="53" t="str">
        <f aca="false">'Vojni evaluator 2'!H37</f>
        <v/>
      </c>
      <c r="F8" s="53" t="str">
        <f aca="false">IFERROR(AVERAGE(D8:E8),"")</f>
        <v/>
      </c>
      <c r="G8" s="53" t="str">
        <f aca="false">IFERROR(AVERAGE(C8:E8),"")</f>
        <v/>
      </c>
    </row>
    <row r="9" customFormat="false" ht="24" hidden="false" customHeight="true" outlineLevel="0" collapsed="false">
      <c r="B9" s="7" t="s">
        <v>15</v>
      </c>
      <c r="C9" s="53" t="str">
        <f aca="false">'Pravni ekspert'!I37</f>
        <v/>
      </c>
      <c r="D9" s="53" t="str">
        <f aca="false">'Vojni evaluator 1'!I37</f>
        <v/>
      </c>
      <c r="E9" s="53" t="str">
        <f aca="false">'Vojni evaluator 2'!I37</f>
        <v/>
      </c>
      <c r="F9" s="53" t="str">
        <f aca="false">IFERROR(AVERAGE(D9:E9),"")</f>
        <v/>
      </c>
      <c r="G9" s="53" t="str">
        <f aca="false">IFERROR(AVERAGE(C9:E9),"")</f>
        <v/>
      </c>
    </row>
    <row r="10" customFormat="false" ht="24" hidden="false" customHeight="true" outlineLevel="0" collapsed="false">
      <c r="B10" s="52" t="s">
        <v>18</v>
      </c>
      <c r="C10" s="53" t="str">
        <f aca="false">'Pravni ekspert'!J37</f>
        <v/>
      </c>
      <c r="D10" s="53" t="str">
        <f aca="false">'Vojni evaluator 1'!J37</f>
        <v/>
      </c>
      <c r="E10" s="53" t="str">
        <f aca="false">'Vojni evaluator 2'!J37</f>
        <v/>
      </c>
      <c r="F10" s="53" t="str">
        <f aca="false">IFERROR(AVERAGE(D10:E10),"")</f>
        <v/>
      </c>
      <c r="G10" s="53" t="str">
        <f aca="false">IFERROR(AVERAGE(C10:E10),"")</f>
        <v/>
      </c>
    </row>
    <row r="12" customFormat="false" ht="27.75" hidden="false" customHeight="true" outlineLevel="0" collapsed="false">
      <c r="B12" s="54" t="s">
        <v>71</v>
      </c>
      <c r="C12" s="36" t="str">
        <f aca="false">IFERROR(AVERAGE(C6:C10),"")</f>
        <v/>
      </c>
      <c r="D12" s="36" t="str">
        <f aca="false">IFERROR(AVERAGE(D6:D10),"")</f>
        <v/>
      </c>
      <c r="E12" s="36" t="str">
        <f aca="false">IFERROR(AVERAGE(E6:E10),"")</f>
        <v/>
      </c>
      <c r="F12" s="36" t="str">
        <f aca="false">IFERROR(AVERAGE(F6:F10),"")</f>
        <v/>
      </c>
      <c r="G12" s="36" t="str">
        <f aca="false">IFERROR(AVERAGE(G6:G10),"")</f>
        <v/>
      </c>
    </row>
    <row r="14" customFormat="false" ht="21.75" hidden="false" customHeight="true" outlineLevel="0" collapsed="false">
      <c r="B14" s="51" t="s">
        <v>72</v>
      </c>
      <c r="C14" s="51"/>
      <c r="D14" s="51"/>
      <c r="E14" s="51"/>
      <c r="F14" s="51"/>
      <c r="G14" s="51"/>
    </row>
    <row r="15" customFormat="false" ht="15" hidden="false" customHeight="true" outlineLevel="0" collapsed="false">
      <c r="B15" s="6" t="s">
        <v>4</v>
      </c>
      <c r="C15" s="6" t="s">
        <v>67</v>
      </c>
      <c r="D15" s="6" t="s">
        <v>68</v>
      </c>
      <c r="E15" s="6" t="s">
        <v>73</v>
      </c>
      <c r="F15" s="6" t="s">
        <v>74</v>
      </c>
    </row>
    <row r="16" customFormat="false" ht="24" hidden="false" customHeight="true" outlineLevel="0" collapsed="false">
      <c r="B16" s="52" t="s">
        <v>7</v>
      </c>
      <c r="C16" s="55" t="str">
        <f aca="false">'Vojni evaluator 1'!F37</f>
        <v/>
      </c>
      <c r="D16" s="55" t="str">
        <f aca="false">'Vojni evaluator 2'!F37</f>
        <v/>
      </c>
      <c r="E16" s="55" t="str">
        <f aca="false">IFERROR(ABS(C16-D16),"")</f>
        <v/>
      </c>
      <c r="F16" s="56" t="str">
        <f aca="false">IF(E16="","",IF(E16&lt;=0.5,"Visoko slaganje",IF(E16&lt;=1,"Umjereno slaganje","Nisko slaganje")))</f>
        <v/>
      </c>
    </row>
    <row r="17" customFormat="false" ht="24" hidden="false" customHeight="true" outlineLevel="0" collapsed="false">
      <c r="B17" s="7" t="s">
        <v>10</v>
      </c>
      <c r="C17" s="55" t="str">
        <f aca="false">'Vojni evaluator 1'!G37</f>
        <v/>
      </c>
      <c r="D17" s="55" t="str">
        <f aca="false">'Vojni evaluator 2'!G37</f>
        <v/>
      </c>
      <c r="E17" s="55" t="str">
        <f aca="false">IFERROR(ABS(C17-D17),"")</f>
        <v/>
      </c>
      <c r="F17" s="57" t="str">
        <f aca="false">IF(E17="","",IF(E17&lt;=0.5,"Visoko slaganje",IF(E17&lt;=1,"Umjereno slaganje","Nisko slaganje")))</f>
        <v/>
      </c>
    </row>
    <row r="18" customFormat="false" ht="24" hidden="false" customHeight="true" outlineLevel="0" collapsed="false">
      <c r="B18" s="52" t="s">
        <v>12</v>
      </c>
      <c r="C18" s="55" t="str">
        <f aca="false">'Vojni evaluator 1'!H37</f>
        <v/>
      </c>
      <c r="D18" s="55" t="str">
        <f aca="false">'Vojni evaluator 2'!H37</f>
        <v/>
      </c>
      <c r="E18" s="55" t="str">
        <f aca="false">IFERROR(ABS(C18-D18),"")</f>
        <v/>
      </c>
      <c r="F18" s="56" t="str">
        <f aca="false">IF(E18="","",IF(E18&lt;=0.5,"Visoko slaganje",IF(E18&lt;=1,"Umjereno slaganje","Nisko slaganje")))</f>
        <v/>
      </c>
    </row>
    <row r="19" customFormat="false" ht="24" hidden="false" customHeight="true" outlineLevel="0" collapsed="false">
      <c r="B19" s="7" t="s">
        <v>15</v>
      </c>
      <c r="C19" s="55" t="str">
        <f aca="false">'Vojni evaluator 1'!I37</f>
        <v/>
      </c>
      <c r="D19" s="55" t="str">
        <f aca="false">'Vojni evaluator 2'!I37</f>
        <v/>
      </c>
      <c r="E19" s="55" t="str">
        <f aca="false">IFERROR(ABS(C19-D19),"")</f>
        <v/>
      </c>
      <c r="F19" s="57" t="str">
        <f aca="false">IF(E19="","",IF(E19&lt;=0.5,"Visoko slaganje",IF(E19&lt;=1,"Umjereno slaganje","Nisko slaganje")))</f>
        <v/>
      </c>
    </row>
    <row r="20" customFormat="false" ht="24" hidden="false" customHeight="true" outlineLevel="0" collapsed="false">
      <c r="B20" s="52" t="s">
        <v>18</v>
      </c>
      <c r="C20" s="55" t="str">
        <f aca="false">'Vojni evaluator 1'!J37</f>
        <v/>
      </c>
      <c r="D20" s="55" t="str">
        <f aca="false">'Vojni evaluator 2'!J37</f>
        <v/>
      </c>
      <c r="E20" s="55" t="str">
        <f aca="false">IFERROR(ABS(C20-D20),"")</f>
        <v/>
      </c>
      <c r="F20" s="56" t="str">
        <f aca="false">IF(E20="","",IF(E20&lt;=0.5,"Visoko slaganje",IF(E20&lt;=1,"Umjereno slaganje","Nisko slaganje")))</f>
        <v/>
      </c>
    </row>
    <row r="24" customFormat="false" ht="21.75" hidden="false" customHeight="true" outlineLevel="0" collapsed="false">
      <c r="B24" s="58" t="s">
        <v>75</v>
      </c>
      <c r="C24" s="58"/>
      <c r="D24" s="58"/>
      <c r="E24" s="58"/>
      <c r="F24" s="58"/>
      <c r="G24" s="58"/>
    </row>
    <row r="25" customFormat="false" ht="39.75" hidden="false" customHeight="true" outlineLevel="0" collapsed="false">
      <c r="B25" s="59" t="s">
        <v>76</v>
      </c>
      <c r="C25" s="59" t="s">
        <v>77</v>
      </c>
      <c r="D25" s="59" t="s">
        <v>78</v>
      </c>
      <c r="E25" s="59" t="s">
        <v>79</v>
      </c>
      <c r="F25" s="59" t="s">
        <v>80</v>
      </c>
    </row>
    <row r="26" customFormat="false" ht="24" hidden="false" customHeight="true" outlineLevel="0" collapsed="false">
      <c r="B26" s="60" t="s">
        <v>81</v>
      </c>
      <c r="C26" s="45" t="str">
        <f aca="false">'Automatske metrike'!F37</f>
        <v/>
      </c>
      <c r="D26" s="61" t="n">
        <f aca="false">IFERROR(MIN('Automatske metrike'!F6:F36),"")</f>
        <v>0</v>
      </c>
      <c r="E26" s="61" t="n">
        <f aca="false">IFERROR(MAX('Automatske metrike'!F6:F36),"")</f>
        <v>0</v>
      </c>
      <c r="F26" s="62" t="s">
        <v>82</v>
      </c>
    </row>
    <row r="27" customFormat="false" ht="24" hidden="false" customHeight="true" outlineLevel="0" collapsed="false">
      <c r="B27" s="63" t="s">
        <v>83</v>
      </c>
      <c r="C27" s="46" t="str">
        <f aca="false">'Automatske metrike'!G37</f>
        <v/>
      </c>
      <c r="D27" s="64" t="n">
        <f aca="false">IFERROR(MIN('Automatske metrike'!G6:G36),"")</f>
        <v>0</v>
      </c>
      <c r="E27" s="64" t="n">
        <f aca="false">IFERROR(MAX('Automatske metrike'!G6:G36),"")</f>
        <v>0</v>
      </c>
      <c r="F27" s="65" t="s">
        <v>84</v>
      </c>
    </row>
    <row r="28" customFormat="false" ht="24" hidden="false" customHeight="true" outlineLevel="0" collapsed="false">
      <c r="B28" s="66" t="s">
        <v>85</v>
      </c>
      <c r="C28" s="47" t="str">
        <f aca="false">'Automatske metrike'!H37</f>
        <v/>
      </c>
      <c r="D28" s="67" t="n">
        <f aca="false">IFERROR(MIN('Automatske metrike'!H6:H36),"")</f>
        <v>0</v>
      </c>
      <c r="E28" s="67" t="n">
        <f aca="false">IFERROR(MAX('Automatske metrike'!H6:H36),"")</f>
        <v>0</v>
      </c>
      <c r="F28" s="68" t="s">
        <v>86</v>
      </c>
    </row>
    <row r="29" customFormat="false" ht="24" hidden="false" customHeight="true" outlineLevel="0" collapsed="false">
      <c r="B29" s="69" t="s">
        <v>87</v>
      </c>
      <c r="C29" s="70" t="str">
        <f aca="false">'Automatske metrike'!I37</f>
        <v/>
      </c>
      <c r="D29" s="71" t="n">
        <f aca="false">IFERROR(MIN('Automatske metrike'!I6:I36),"")</f>
        <v>0</v>
      </c>
      <c r="E29" s="71" t="n">
        <f aca="false">IFERROR(MAX('Automatske metrike'!I6:I36),"")</f>
        <v>0</v>
      </c>
      <c r="F29" s="72" t="s">
        <v>88</v>
      </c>
    </row>
    <row r="31" customFormat="false" ht="37.5" hidden="false" customHeight="true" outlineLevel="0" collapsed="false">
      <c r="B31" s="41" t="s">
        <v>89</v>
      </c>
      <c r="C31" s="41"/>
      <c r="D31" s="41"/>
      <c r="E31" s="41"/>
      <c r="F31" s="41"/>
      <c r="G31" s="41"/>
    </row>
  </sheetData>
  <mergeCells count="5">
    <mergeCell ref="B2:G2"/>
    <mergeCell ref="B4:G4"/>
    <mergeCell ref="B14:G14"/>
    <mergeCell ref="B24:G24"/>
    <mergeCell ref="B31:G31"/>
  </mergeCells>
  <conditionalFormatting sqref="C6:G12">
    <cfRule type="colorScale" priority="2">
      <colorScale>
        <cfvo type="num" val="1"/>
        <cfvo type="num" val="3"/>
        <cfvo type="num" val="5"/>
        <color rgb="FFFF0000"/>
        <color rgb="FFFFFF00"/>
        <color rgb="FF00B050"/>
      </colorScale>
    </cfRule>
  </conditionalFormatting>
  <conditionalFormatting sqref="E16:E20">
    <cfRule type="colorScale" priority="3">
      <colorScale>
        <cfvo type="num" val="0"/>
        <cfvo type="num" val="1"/>
        <cfvo type="num" val="4"/>
        <color rgb="FF00B050"/>
        <color rgb="FFFFFF00"/>
        <color rgb="FFFF000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2026-04-27T11:16:39Z</dcterms:created>
  <dc:creator>openpyxl</dc:creator>
  <dc:description/>
  <dc:language>en-US</dc:language>
  <cp:lastModifiedBy/>
  <dcterms:modified xsi:type="dcterms:W3CDTF">2026-04-27T11:22:49Z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