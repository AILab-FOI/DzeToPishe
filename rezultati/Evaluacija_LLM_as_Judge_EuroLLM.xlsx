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ažetak" sheetId="1" state="visible" r:id="rId3"/>
    <sheet name="Vanilla" sheetId="2" state="visible" r:id="rId4"/>
    <sheet name="RAG" sheetId="3" state="visible" r:id="rId5"/>
    <sheet name="GraphRAG" sheetId="4" state="visible" r:id="rId6"/>
    <sheet name="Podaci"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<sst xmlns="http://schemas.openxmlformats.org/spreadsheetml/2006/main" count="1001" uniqueCount="323">
  <si>
    <t xml:space="preserve">LLM-as-Judge evaluacija: Vanilla vs. RAG vs. GraphRAG (EuroLLM)</t>
  </si>
  <si>
    <t xml:space="preserve">Diplomski rad – usporedba arhitektura za pitanja i odgovore nad hrvatskim vojno-obrambenim propisima</t>
  </si>
  <si>
    <t xml:space="preserve">Ljestvica 1–5. Ocjene provjerene izravno protiv izvornih dokumenata (Ustav 2018, Zakon o obrani 2025, Zakon o službi 2025, Pravilnik o TVO, Pravilnik o službi u OSRH). n = 43 pitanja.</t>
  </si>
  <si>
    <t xml:space="preserve">Tablica 1. Prosječne ocjene po dimenzijama (svih 43 pitanja)</t>
  </si>
  <si>
    <t xml:space="preserve">Dimenzija</t>
  </si>
  <si>
    <t xml:space="preserve">Vanilla</t>
  </si>
  <si>
    <t xml:space="preserve">RAG</t>
  </si>
  <si>
    <t xml:space="preserve">GraphRAG</t>
  </si>
  <si>
    <t xml:space="preserve">Pravna točnost</t>
  </si>
  <si>
    <t xml:space="preserve">Citiranje propisa</t>
  </si>
  <si>
    <t xml:space="preserve">Praktična primjenjivost</t>
  </si>
  <si>
    <t xml:space="preserve">Potpunost odgovora</t>
  </si>
  <si>
    <t xml:space="preserve">Jasnoća</t>
  </si>
  <si>
    <t xml:space="preserve">UKUPNO</t>
  </si>
  <si>
    <t xml:space="preserve">Tablica 2. Ukupni skor (prosjek svih 5 dimenzija) po kategoriji pitanja</t>
  </si>
  <si>
    <t xml:space="preserve">Kategorija (broj pitanja)</t>
  </si>
  <si>
    <t xml:space="preserve">Jednostavna (23)</t>
  </si>
  <si>
    <t xml:space="preserve">Kompleksna – 1 dokument (8)</t>
  </si>
  <si>
    <t xml:space="preserve">Kompleksna – više dok. (12)</t>
  </si>
  <si>
    <t xml:space="preserve">Tablica 3. Statistička značajnost (na ukupnom skoru po pitanju)</t>
  </si>
  <si>
    <t xml:space="preserve">Usporedba</t>
  </si>
  <si>
    <t xml:space="preserve">p-vrijednost</t>
  </si>
  <si>
    <t xml:space="preserve">Zaključak</t>
  </si>
  <si>
    <t xml:space="preserve">Friedman test (sva 3 modela)</t>
  </si>
  <si>
    <t xml:space="preserve">p &lt; 0.001</t>
  </si>
  <si>
    <t xml:space="preserve">značajna razlika</t>
  </si>
  <si>
    <t xml:space="preserve">Wilcoxon: RAG vs GraphRAG</t>
  </si>
  <si>
    <t xml:space="preserve">p = 0.0001</t>
  </si>
  <si>
    <t xml:space="preserve">RAG značajno bolji</t>
  </si>
  <si>
    <t xml:space="preserve">Wilcoxon: RAG vs Vanilla</t>
  </si>
  <si>
    <t xml:space="preserve">Wilcoxon: GraphRAG vs Vanilla</t>
  </si>
  <si>
    <t xml:space="preserve">GraphRAG značajno bolji</t>
  </si>
  <si>
    <t xml:space="preserve">Tablica 4. Automatske metrike (referentno, iz evaluacijske datoteke)</t>
  </si>
  <si>
    <t xml:space="preserve">Metrika</t>
  </si>
  <si>
    <t xml:space="preserve">ROUGE-L</t>
  </si>
  <si>
    <t xml:space="preserve">Cosine sličnost</t>
  </si>
  <si>
    <t xml:space="preserve">BERTScore</t>
  </si>
  <si>
    <t xml:space="preserve">Vrijeme (s)</t>
  </si>
  <si>
    <t xml:space="preserve">Detaljne ocjene po pitanju — Vanilla</t>
  </si>
  <si>
    <t xml:space="preserve">Rbr</t>
  </si>
  <si>
    <t xml:space="preserve">Kategorija</t>
  </si>
  <si>
    <t xml:space="preserve">Pitanje</t>
  </si>
  <si>
    <t xml:space="preserve">Prosjek</t>
  </si>
  <si>
    <t xml:space="preserve">Komentar suca</t>
  </si>
  <si>
    <t xml:space="preserve">Odgovor modela (Vanilla)</t>
  </si>
  <si>
    <t xml:space="preserve">Zlatni standard (očekivani odgovor)</t>
  </si>
  <si>
    <t xml:space="preserve">Kompleksna – više dok.</t>
  </si>
  <si>
    <t xml:space="preserve">Opišite cjelokupnu proceduru transformacije novaka u razvrstanog pričuvnika kroz sve pravne akte koji reguliraju taj proces.</t>
  </si>
  <si>
    <t xml:space="preserve">Vanilla i Graph izmišljaju članke/tijela; RAG bliži proceduri ali nepotpun</t>
  </si>
  <si>
    <t xml:space="preserve">Transformacija novaka u razvrstani pričuvnik u Hrvatskoj regulirana je Zakonom o službi u Oružanim snagama Republike Hrvatske (ZSOŠ) te pripadajućim pravilnicima. Evo korak-po-korak procedure:  
1. **Raspored na odsluženje vojnog roka** – Prema članku 60. ZSOŠ, mladi ljudi raspoređeni su na odsluženje vojnog roka nakon završetka srednje škole ili po drugi put kad navrše 18 godina.  
2. **Proverba zdravstvenog stanja i sposobnosti** – Nakon dolaska u postrojbu, provodi se medicinska proverba kako bi se utvrdilo da li kandidat ispunjava fizičke i psihičke uvjete za služenje (članak 79. ZSOŠ).  
3. **Teorijsko i praktično osposobljavanje** – Vojnici prolaze osnovno vojno osposobljavanje prema Programu vojne osposobljenosti (članak 80. ZSOŠ), uključujući topografiju, taktiku, uporabu oružja itd.  
4. **Ocena sposobnosti i klasifikacija** – Na kraju osposobljavanja, zapovjednik postrojbe ocjenjuje sposobnost vojnika i daje preporuku za klasifikaciju (npr. "odlično", "dobro" itd.) (članak 81. ZSOŠ).  
5. **Deklariranje kao razvrstani pričuvnik** – Ako ispuni kriterije, vojnik postaje razvrstani pričuvnik i dobiva status pričuve (članak 82. ZSOŠ).  
6. **Registracija u sustavu pričuvnih snaga** – Ministarstvo obrane vodi evidenciju razvrstanih pričuvnika (članak 83. ZSOŠ).  
7. **Moguća pozivnica na dodatnu osposobljavanju** – Razvrstani pričuvnici mogu biti pozvani na dodatne tečajeve ovisno o potrebama vojske (članak 84. ZSOŠ).  
Nadležno tijelo za ovaj postupak je Glavno stožer Oružanih snaga RH, a detaljniji uputi nalaze se u Pravilniku o provedbi ZSOŠ.</t>
  </si>
  <si>
    <t xml:space="preserve">Ustav RH propisuje vojnu obvezu kao dužnost svih sposobnih državljana, uz mogućnost prigovora savjesti iz vjerskih ili moralnih razloga, uz obvezu ispunjavanja drugih dužnosti određenih zakonom. Novačka obveza nastaje u kalendarskoj godini kad državljanin RH navršava 18 godina. Državljanin RH se uvodi u vojnu evidenciju i prolazi zdravstveni i psihološki pregled. Temeljno vojno osposobljavanje traje dva mjeseca. Plan upućivanja donosi ministar obrane do 15. prosinca za iduću godinu, a pojedinačna odluka 40 dana unaprijed. Ročnici se osposobljavaju za specijalnost 11A (strijelac) i polažu prisegu. Nakon temeljnog vojnog osposobljavanja ročnik automatski postaje razvrstani pričuvnik s dodijeljenim ratnim rasporedom i vojnostručnom specijalnošću. Može biti pozvan na vježbe u maksimalnom trajanju od 90 dana godišnje. Prigovor savjesti podnosi se pisanim zahtjevom nadležnom tijelu. Odobrava se osobama čija vojna služba nije spojiva s vjerskim uvjerenjima ili moralnim načelima. Umjesto vojnog osposobljavanja, obveznik ispunjava civilnu obvezu u trajanju određenom zakonom.</t>
  </si>
  <si>
    <t xml:space="preserve">Kako je regulirana hijerarhija odlučivanja o uporabi Oružanih snaga u različitim situacijama kroz Ustav i Zakon o obrani?</t>
  </si>
  <si>
    <t xml:space="preserve">RAG najbolje pogađa hijerarhiju; Vanilla i Graph miješaju tijela i članke</t>
  </si>
  <si>
    <t xml:space="preserve">Hierarhija odlučivanja o uporabi Oružanih snaga u Republici Hrvatskoj regulirana je Ustavom Republike Hrvatske (članak 97.) i Zakonom o obrani (članci 6., 8., 10.).  
**Prema Ustavu (čl. 97.):**  
- Predsjednik Republike Hrvatske vrhovni je zapovjednik Oružanih snaga.  
- Vlada RH ima ovlast donošenja odluka o upotrebi oružanih snaga u skladu s Ustavom i međunarodnim obvezama.  
**Prema Zakonu o obrani (članci 6.–10.):**  
- **Ministar obrane** donosi odluke o korištenju snaga pod vodstvom Vlade.  
- **Predsjednik RH** može rasporediti snage izvan granica samo uz suglasnost Sabora.  
- **Sabor RH** ima ulogu nadzora nad sigurnosnom politikom putem odbora za obranu.  
Nadležno tijelo za nadzor je **Državno tajništvo za nacionalnu sigurnost** (prema Pravilniku o unutarnjoj organizaciji).  
Napomena: Ova informacija temelji se na važećim propisima do 2024. godine. Za ažurirane podatke preporučuje se provjera najnovijih izmjena zakona.</t>
  </si>
  <si>
    <t xml:space="preserve">Hijerarhija odlučivanja o uporabi Oružanih snaga RH razlikuje šest situacija ovisno o razini ugroze. Ratno stanje — Predsjednik Republike naređuje uporabu i zapovijeda OS-om s punom ovlašću. Odgovoran je za obranu zemlje. Stanje neposredne ugroženosti — Predsjednik može narediti uporabu, ali odluka zahtijeva supotpis predsjednika Vlade. Prelazak granice — Sabor donosi odluku većinom svih zastupnika na prijedlog Vlade uz prethodnu suglasnost Predsjednika. Ako Predsjednik uskrati suglasnost, potrebna je dvotrećinska većina Sabora. Pomoć saveznicima — Sabor donosi odluku na prijedlog Vlade uz suglasnost Predsjednika. Vježbe i obuka — Vlada donosi odluku uz suglasnost Predsjednika. Za postrojbe do razine voda odluku donosi ministar obrane samostalno. Provedba — Načelnik Glavnog stožera ima ovlast punog zapovijedanja. Odgovoran je Predsjedniku za izvršavanje zapovijedi i naredbi, a ministru obrane za provedbu odluka.</t>
  </si>
  <si>
    <t xml:space="preserve">Objasnite sustav imenovanja i odgovornosti načelnika Glavnog stožera kroz sve relevantne propise.</t>
  </si>
  <si>
    <t xml:space="preserve">RAG i Graph točno: 4 god bez reizbora; Vanilla izmišlja članke i suglasnost Sabora</t>
  </si>
  <si>
    <t xml:space="preserve">Sustav imenovanja i odgovornosti **Načelnika Glavnog stožera OSRH** (Oružanih snaga Republike Hrvatske) reguliran je sljedećim propisima:  
### **Zakon o obrani (Narodne novine br. 97/02., 86/04., 127/06.)**  
- **Članak 10.**: Načelnika Glavnog stožera imenuje Predsjednik Republike Hrvatske na prijedlog Vlade, uz suglasnost Sabora.  
- **Članak 11.**: Načelnik Glavnog stožera vrši rukovodeću funkciju u OSRH i odgovoran je za provedbu odluka Predsjednika i Vlade.  
### **Zakon o službi u Oružanim snagama RH (Narodne novine br. 127/06.)**  
- **Članak 12.**: Načelnik Glavnog stožera ima najviši čin generala i izravno je podređen predsjedniku države kao vrhovnom zapovjedniku OSRH.  
### **Pravilnik o ustroju Glavnog stožera OSRH (NN 127/06.)**  
- Definisan je rad Načelnika kao strateškog voditelja vojne politike i operacija.  
### **Dodatne odgovornosti**  
- Nadzire planiranje i provedbu vojnih operacija.  
- Imenuje zapovjednike rodova i postrojbi po preporuci ministra obrane.  
- Predstavlja OSRH pred međunarodnim partnerima.  
Napomena: Ova informacija temelji se na važećim hrvatskim zakonima i pravilnicima do 2023. godine. Za ažurirane podatke preporučuje se provjera najnovijih izmjena.</t>
  </si>
  <si>
    <t xml:space="preserve">Položaj načelnika Glavnog stožera OS RH reguliran je kroz pet razina. Imenuje ga Predsjednik Republike na prijedlog Vlade, nakon pribavljenog mišljenja Odbora za obranu Sabora. Mandat traje četiri godine bez mogućnosti ponovnog imenovanja. Razrješuje ga Predsjednik Republike izravno ili na prijedlog Vlade, nakon mišljenja Odbora za obranu Sabora. Na čelu je Glavnog stožera i nadređen je svim stožerima, zapovjedništvima i postrojbama OS-a. Obnaša dužnost glavnog vojnog savjetnika Predsjedniku i ministru obrane. Ima ovlast punog zapovijedanja u OS-u. Djeluje na temelju zapovijedi Predsjednika, odluka ministra obrane i Zakona. Predsjedniku je odgovoran za provedbu zapovijedi i naredbi, a ministru obrane za provedbu odluka. Obvezan je istodobno izvještavati oba o uporabi Oružanih snaga.</t>
  </si>
  <si>
    <t xml:space="preserve">Objasnite sve oblike obveza državljana u obrani prema Zakonu o obrani i Ustavu.</t>
  </si>
  <si>
    <t xml:space="preserve">RAG i Graph pokrivaju vojnu/radnu/materijalnu obvezu; Vanilla izmišlja</t>
  </si>
  <si>
    <t xml:space="preserve">Prema **Zakonu o obrani** (Narodne novine broj 76/05) i **Ustavu Republike Hrvatske** (NN br. 123/2000), građani imaju sljedeće obveze u području obrane:  
1. **Građanska obaveza prema Zakonu o obrani (čl. 8–9):**  
   - Građani su dužni sudjelovati u obrani zemlje kroz:  
     - **Služenje vojnog roka** (građevinski rok) – određuje se Pravilnikom o vojnom roku (NN br. 123/05).  
     - **Mobilizaciju** – poziv na služenje u slučaju izvanrednih situacija (čl. 10).  
     - **Dobrovoljna vojna služba** – mogućnost dobrovoljnog angažmana (čl. 11).  
2. **Obveza prema Ustavu RH (čl. 14):**  
   - Svaki građanin ima pravo i dužnost braniti domovinu.  
   - Obrana zemlje uključuje i **alternativnu službu** za one koji iz vjerskih ili moralnih razloga ne mogu nositi oružje (čl. 14).  
3. **Nadležno tijelo:**  
   - Za provedbu zakona nadležno je **Ministarstvo obrane RH** (čl. 12 Zakona o obrani).  
Napomena: Ova informacija temelji se isključivo na hrvatskom zakonodavstvu. Dodatne specifikacije (npr. iznose naknada za alternativnu službu) zahtijevaju provjeru Pravilnika o vojnom roku.</t>
  </si>
  <si>
    <t xml:space="preserve">Vojna obveza i obrana RH dužnost je svih sposobnih državljana, uz mogućnost prigovora savjesti. Vojna obveza nastaje u godini navršenja 18 godina. Prestaje s 55 godina za muškarce odnosno 50 godina za žene. Sastoji se od novačke obveze, temeljnog vojnog osposobljavanja ili civilne službe te služenja u pričuvi. Služenje u ugovornoj pričuvi - nakon dragovoljnog vojnog osposobljavanja ili temeljnog vojnog osposobljavanje. Osposobljavanje pričuve traje do 90 dana godišnje. Radna obveza nameće se pravnim osobama i državljanima RH. Aktivira se u ratnom stanju i stanju neposredne ugroženosti. Radna pomoć se može uvesti u ratnom stanju i stanju neposredne ugroženosti radi izvršenja zadaća nositelja obrambenih funkcija. Materijalna obveza podrazumijeva ustupanje objekata i materijalnih sredstava za potrebe obrambenih zadaća i osposobljavanja.</t>
  </si>
  <si>
    <t xml:space="preserve">Kako se povezuju prigovor savjesti iz Ustava, civilna sluzba i sustav vojne obveze kroz Ustav i Zakon o obrani, i koje su posljedice odabira civilne sluzbe za status osobe?</t>
  </si>
  <si>
    <t xml:space="preserve">RAG i Graph točan smjer; oba dodaju netočne rokove (3/4 mj); Vanilla slabo</t>
  </si>
  <si>
    <t xml:space="preserve">Prema **Članku 70.** Ustava Republike Hrvatske, građani imaju pravo prigovora savjesti prema vojnoj službi, a to pravo uređuje poseban zakon.  
Zakon o obrani (Narodne novine 98/16) regulira priznavanje prigovora savjesti u **Članku 10.** te omogućuje zamjenu vojne službe civilnom službom. Prigovor mora biti obrazložen i dostavljen nadležnom tijelu najkasnije do početka vojne službe.  
Civilnu službu obavljaju građani koji nisu sposobni za vojnu službu ili odbijaju sudjelovati u oružanoj borbi zbog vjerskih, filozofskih ili moralnih uvjerenja. Trajanje civilne službe jednako je trajanju vojne službe, ali se obavlja pod nadzorom nadležnog ministarstva.  
Posljedice odabira civilne službe uključuju zadržavanje statusa civila, ali s ograničenjima u sudjelovanju u aktivnostima povezanim sa sigurnošću i obranom države. Osoba koja odbije vojnu službu može biti kažnjena novčanom kaznom ako ne izvrši alternativu.  
Nadležno tijelo za rješavanje prigovora savjesti je Ministarstvo obrane RH, a detaljnija pravila definiraju Pravilnik o priznavanju prigovora savjesti (NN 12/17).</t>
  </si>
  <si>
    <t xml:space="preserve">Ustav RH jamci pravo na prigovor savjesti svima koji zbog vjerskih ili moralnih nazora nisu pripravni sudjelovati u obavljanju vojnih duznosti, uz obvezu ispunjavanja drugih duznosti odredenih zakonom. Zakon o obrani tu ustavnu odredbu razraduje kroz institut vojne obveze koja nastaje u godini punoljetnosti, te propisuje da osoba s odobrenim prigovorom savjesti umjesto vojne obveze ispunjava civilnu obvezu. Posljedica je da takva osoba ne ulazi u rocnicki/pricuvni put kroz temeljno vojno osposobljavanje, nego se njezina obrambena duznost ostvaruje u nevojnom obliku, cime se ustavno nacelo (sloboda savjesti) i zakonska obveza (doprinos obrani) uskladuju.</t>
  </si>
  <si>
    <t xml:space="preserve">Objasnite cijeli put zdravstvene i psiholoske procjene novaka - od poziva do upisa u evidenciju - povezujuci Zakon o obrani s Pravilnikom o temeljnom vojnom osposobljavanju.</t>
  </si>
  <si>
    <t xml:space="preserve">RAG najbolje slijedi zakonski put; Graph dobar; Vanilla izmišlja testove</t>
  </si>
  <si>
    <t xml:space="preserve">Proces zdravstvene i psihološke procjene novaka reguliran je **Zakonom o obrani** (Narodne Novine, NN) i **Pravilnikom o temeljnom vojnom osposobljavanju** (NN). Evo koraka:  
1. **Zdravstvena procjena**  
   - Prema **Čl. 60.** Zakona o obrani, svi kandidati moraju proći medicinski pregled kako bi se utvrdilo njihovo zdravstveno stanje.  
   - Preglede obavljaju liječnici vojne zdravstvene službe ili civilni liječnici prema kriterijima utvrđenim Pravilnikom o medicinskim pregledima (NN).  
2. **Psihološka procjena**  
   - U skladu s **Čl. 78.** Zakona o obrani, psihološka ocena provodi se radi utvrđivanja sposobnosti za služenje.  
   - Procjenu vrši psiholog vojne zdravstvene službe prema standardiziranim testovima (npr. WAIS, Rorschach), a detalji su navedeni u **Pravilniku o psihološkoj procjeni** (NN).  
3. **Evidencija i odluka**  
   - Nakon pozitivne ocjene, kandidat se upisuje u evidenciju te započinje temeljno vojno osposobljavanje (prema **Čl. 90.** Zakona o obrani).  
   - Neuspjesi se evidentiraju, a kandidat može biti ponovno procijenjen nakon oporavka.  
**Nadležno tijelo:** Vojno-medicinski centar (VMC) i psihološka služba OSRH.  
Napomena: Informacije su preuzete iz važećih propisa i ne uključuju specifične slučajeve iz konteksta pitanja.</t>
  </si>
  <si>
    <t xml:space="preserve">Zakon o obrani uspostavlja vojnu evidenciju i ovlast Ministarstva obrane da poziva obveznike, a detaljnu provedbu propisuje Pravilnik o temeljnom vojnom osposobljavanju. Po Pravilniku nadlezni podrucni odjel za poslove obrane poziva kandidata na zdravstveni pregled i psihologijsko ispitivanje, upoznaje ga s pravima i obvezama, izdaje uputnicu te osigurava prijevoz ili naknadu troskova. Kandidat se mora odazvati; u slucaju sprijecenosti duzan je u roku od tri dana obavijestiti odjel, koji odreduje novi termin. Nakon osposobljavanja nadlezna ustrojstvena jedinica u evidenciju, vojnu iskaznicu i informacijski sustav upisuje datume pocetka i zavrsetka osposobljavanja, vojnostrucnu specijalnost i datum prisege.</t>
  </si>
  <si>
    <t xml:space="preserve">Kako se nadleznost za donosenje programa obuke i provedbu svecane prisege rasporeduje izmedu ministra obrane, nacelnika Glavnog stozera i ustrojstvenih jedinica, prema Zakonu o obrani i Pravilniku o TVO?</t>
  </si>
  <si>
    <t xml:space="preserve">RAG i Graph točno o prisegi i ustrojstvenoj jedinici; Vanilla izmišlja</t>
  </si>
  <si>
    <t xml:space="preserve">Prema **Zakonu o obrani** (Narodne novine broj 97/06) i **Pravilniku o vojnoj vježbi i svecu prisegi** (NN broj 82/07), nadležnosti su sljedeće:  
1. **Ministar obrane** ima najvišu nadležnost za donošenje **programa obuke** i odobravanje **svečane prisege** (članci 10., 11. i 12. ZOO).  
2. **Nacelnik Glavnog stožera OSRH** koordinira provedbu programa obuke i nadzire ispunjavanje standarda (članak 13. ZOO).  
3. **Ustrojbene jedinice** (pukovnije, zapovjedništva) provode obuku i organiziraju svečanu prisegu po odobrenim programima (članak 14. ZOO).  
Detaljnije odredbe nalaze se u **Pravilniku o vojnoj vježbi i svecu prisegi** (NN 82/07), poglavlje II. ("Provedba").</t>
  </si>
  <si>
    <t xml:space="preserve">Plan upucivanja kandidata donosi ministar obrane (do 15. prosinca za iducu godinu, odnosno pojedinacnu odluku 40 dana prije upucivanja). Program obuke rocnika za specijalnost 11A (strijelac) donosi nacelnik Glavnog stozera, a za posebne kategorije (ugovorni pricuvnici, vojni specijalisti, kasni prijam casnika) donosi poseban program. Rocnici daju svecanu prisegu pred ministrom obrane ili osobom koju on odredi, a program prisege izraduje nadlezna ustrojstvena jedinica Ministarstva u suradnji s Glavnim stozerom. Time se zakonska razina (ministar - strateske odluke) i strucno-vojna razina (nacelnik GS - sadrzaj obuke) jasno odvajaju.</t>
  </si>
  <si>
    <t xml:space="preserve">Povezite ustavnu ulogu Predsjednika kao vrhovnog zapovjednika s lancem zapovijedanja i odgovornosti nacelnika Glavnog stozera prema Zakonu o obrani i Zakonu o sluzbi u OSRH.</t>
  </si>
  <si>
    <t xml:space="preserve">Sve tri uhvate ideju; RAG i Graph precizniji o dvostrukoj odgovornosti</t>
  </si>
  <si>
    <t xml:space="preserve">Prema **Zakonu o obrani** (Narodne novine br. 97/02.) i **Zakonu o službi u Oružanim snagama RH** (Narodne novine br. 86/05.), Predsjednik Republike Hrvatske ima ustavnu ulogu vrhovnog zapovjednika oružanih snaga. Međutim, operativno rukovođenje i izvršavanje zapovijedi obavlja **Nacelnik Glavnog stožera Oružanih snaga RH** (GSOS), koji je izravno odgovoran predsjedniku.  
### Lanac zapovijedanja i odgovornosti:  
1. **Predsjednik RH** – vrhovni zapovjednik, imenuje i razrješuje Nacelnika GSOS-a.  
2. **Nacelnik GSOS-a** – najviši vojni autoritet, odgovoran za provedbu vojnih operacija i strateških odluka predsjednika.  
3. **Dužnosnici u nižim stupnjevima** – izvode naredbe prema hijerarhiji.  
### Pravna osnova:  
- **Članak 126. Ustava RH**: "Predsjednik Republike Hrvatske vrhovni je zapovjednik Oružanih snaga."  
- **Članak 10. Zakona o službi u OSRH**: Definisan je položaj GSOS-a kao središnjeg tijela vojne uprave.  
Napomena: Ova informacija temelji se na važećim zakonskim aktima Republike Hrvatske.</t>
  </si>
  <si>
    <t xml:space="preserve">Ustav odreduje Predsjednika RH kao vrhovnog zapovjednika Oruzanih snaga. Zakon o obrani tu ulogu operacionalizira: Predsjednik nareduje uporabu OS u ratnom stanju i odgovoran je za obranu, dok se u nizim razinama ugroze odluke dijele s Vladom i Saborom. Nacelnik Glavnog stozera ima ovlast punog zapovijedanja u provedbi, pri cemu je za izvrsavanje zapovijedi i naredbi odgovoran Predsjedniku, a ministru obrane za provedbu odluka iz njegove nadleznosti. Zakon o sluzbi dodatno ureduje status i imenovanje nacelnika unutar vojne hijerarhije. Tako se ustavno nacelo civilnog vrhovnog zapovjednistva provodi kroz dvostruku liniju odgovornosti nacelnika GS.</t>
  </si>
  <si>
    <t xml:space="preserve">Usporedite kako se pripravnost, stanje neposredne ugrozenosti i ratno stanje odrazavaju na svakodnevni rezim u postrojbi (izlasci, osiguranje objekata, uzbuna) povezujuci Zakon o obrani s Pravilnikom o sluzbi u OSRH.</t>
  </si>
  <si>
    <t xml:space="preserve">RAG dobro pokriva stupnjeve; Graph fabricira URL-ove; Vanilla generičan</t>
  </si>
  <si>
    <t xml:space="preserve">Prema **Zakonu o obrani** (Narodne novine broj 76/05 i izm.) te **Pravilniku o službi u Oružanim snagama RH** (NN broj 98/05), razina pripravnosti i stanja neposredne ugroženosti utječe na svakodnevni režim u postrojbama na sljedeći način:  
1. **Pripravnost** – U skladu s člankom 10. Zakona, postrojbe održavaju redovitu pripravnost prema planu osmišljenom prema strateškim potrebama države. Izlaganje i osiguranje objekata odvija se prema utvrđenim rasporedima, a alarmantni postupci su definirani u članku 11. Pravilnika.  
2. **Stanje neposredne ugroženosti** – Prema članku 12. Zakona, u slučaju takve situacije, zapovjednik može donijeti odluke o povećanju sigurnosnih mjera, uključujući ograničavanje kretanja osoblja ili pojačano osiguranje ključnih objekata. Pravilnik to detaljnije regulira u poglavlju V., točku 2.  
3. **Ratno stanje** – Prema članku 13. Zakona, u ratu postrojbe ulaze u punu operativnu spremnost, s aktivacijom svih snaga i sredstava. Pravilnik to dodatno precizira u članku 14., gdje su definirani postupci za mobilizaciju i djelovanje pod zračnom opasnošću.  
Dodatno, prema članku 15. Pravilnika, zapovjednici postrojbi imaju ovlast prilagođavati dnevni red ovisno o stupnju ugroženosti, što uključuje i provođenje vježbi za brzo reagiranje.  
*Napomena: Ova informacija temelji se na analizi relevantnog zakonodavstva i ne sadrži konkretan kontekst iz upita.</t>
  </si>
  <si>
    <t xml:space="preserve">Zakon o obrani definira stupnjeve ugroze i tijela koja ih proglasavaju, a Pravilnik o sluzbi razraduje njihove operativne posljedice. Pri pripravnosti, stanju neposredne ugrozenosti ili ratnom stanju osiguranje objekata se pojacava (vise osoba, tehnicka i inzenjerijska sredstva), redoviti i izvanredni izlasci vojnih osoba ogranicavaju se ili obustavljaju, a privatna putovanja se obustavljaju kada je zapovjedena pripravnost. Uzbuna (borbena, mobilizacijska, zbog nesreca, radi provjere) dovodi postrojbu na trazeni stupanj spremnosti prikupljanjem na mjestima za uzbunu. Tako se pravni okvir (Zakon) preslikava u konkretne dnevne duznosti (Pravilnik).</t>
  </si>
  <si>
    <t xml:space="preserve">Objasnite cijeli zivotni ciklus ugovornog odnosa vojnika/mornara - od prijma do rasporeda na ustrojbeno mjesto - povezujuci ustavnu osnovu vojne sluzbe sa Zakonom o sluzbi u OSRH.</t>
  </si>
  <si>
    <t xml:space="preserve">RAG i Graph točni uvjeti prijma; Vanilla izmišlja ustavni članak</t>
  </si>
  <si>
    <t xml:space="preserve">Životni ciklus ugovornog odnosa vojnika ili mornara u Oružanim snagama Republike Hrvatske (OSRH) reguliran je Ustavom RH, Zakonom o službi u OSRH te pripadajućim pravilnicima. Evo detaljnog pregleda:  
### **1. Prijam na vojnu službu**  
- **Ustavna osnova**: Članak 80. Ustava RH uređuje pravo na vojnu službu, dok Zakon o službi u OSRH (čl. 6.) definira uvjete za pristup vojsci.  
- **Postupak**: Kandidat potpisuje **ugovor o radu u OSRH** (čl. 7. ZSOSRH), koji uključuje rok trajanja (obično 5 godina s mogućnošću produženja).  
- **Pregledi i ocjene**: Provjeravaju se zdravstveno stanje, psihofizička sposobnost i vojna sprema (čl. 9. ZSOSRH).  
### **2. Razvrstavanje i ustrojavanje**  
- Nakon primopredaje, vojnik/mornar dobiva **ustrojbeno mjesto** prema stručnoj spremi (npr. topnik, vozač, medicinski tehničar – čl. 12. ZSOSRH).  
- **Dodatne kvalifikacije**: Po završetku škole za časnike ili specijalizirane programe (čl. 14. ZSOSRH).  
### **3. Služenje i napredovanje**  
- Vojnici/mornari prolaze kroz stupnjeve po činu (svjedok, narednik, potporučnik itd., čl. 16. ZSOSRH).  
- Nagrade i sankcije regulirani su Pravilnikom o disciplinskoj odgovornosti (NN 121/10).  
### **4. Kraj službe**  
- Raskid ugovora može biti sporazuman (čl. 21. ZSOSRH) ili zbog povrede obveza.</t>
  </si>
  <si>
    <t xml:space="preserve">Ustav RH postavlja vojnu obvezu i sudjelovanje u obrani kao duznost drzavljana, a Zakon o sluzbi tu osnovu razraduje u konkretan ugovorni put. Prijam vojnika/mornara provodi se prema godisnjem planu prijma, uz mogucnost dodatnih kriterija ovisno o rodu, sluzbi i vojnostrucnoj specijalnosti, te kroz odabirni postupak propisan posebnim pravilnikom. Odnos se zasniva ugovorom o vojnickoj sluzbi. Nakon prijma djelatnu vojnu osobu imenuje se na duznost odnosno rasporeduje na ustrojbeno mjesto u skladu s uvjetima tog mjesta, cinom i stecenom vojnostrucnom specijalnosti; raspored na mjesto za koje je propisana opca specijalnost smatra se odgovarajucim. Tako se ustavno nacelo doprinosa obrani pretvara u ureden, ugovorom vezan i specijalnoscu uskladen radni status.</t>
  </si>
  <si>
    <t xml:space="preserve">Kako se prava rocnika tijekom temeljnog vojnog osposobljavanja (placa, osiguranje, prijevoz) povezuju s opcim rezimom sluzbe - objasnite kroz Pravilnik o TVO, Zakon o sluzbi i Pravilnik o sluzbi u OSRH.</t>
  </si>
  <si>
    <t xml:space="preserve">RAG i Graph točno navode čl.18 i čl.137; Vanilla izmišlja NN brojeve</t>
  </si>
  <si>
    <t xml:space="preserve">Temeljno vojno osposobljavanje (TVO) regrūtā koji sklapaju ugovor o službi u Oružanim snagama Republike Hrvatske (OSRH) regulirano je Pravilnikom o temeljnom vojnom osposobljavanju (Narodne novine br. 97/06), Zakonom o službi u Oružanim snagama Republike Hrvatske (NN 82/07) te Pravilnikom o službi u Oružanim snagama Republike Hrvatske (NN 110/07).  
### **Plaća**  
Regrūtī imaju pravo na plaću od trenutka stupanja u službu do završetka TVO-a (čl. 12 Pravilnika o TVO). Plaća se isplaćuje mjesečno prema stupnju i dužnosti (čl. 13 Zakona o službi).  
### **Osiguranje**  
Tijekom TVO-a regrūtī su osigurani prema sustavu zdravstvenog osiguranja OSRH (čl. 14 Pravilnika o TVO). U slučaju ozljede ili bolesti, skrba je osigurana prema propisima o zdravstvenoj skrbi u OSRH (čl. 15 Zakona o službi).  
### **Prijevoz**  
Regrūtī imaju pravo na besplatan prijevoz do mjesta osposobljavanja i natrag ako to zahtijeva službeno zaduživanje (čl. 16 Pravilnika o TVO). Prijevoz se organizira putem sredstava OSRH.  
Ovi uvjeti vrijede isključivo za razdoblje TVO-a, a daljnja prava i obveze ovise o vrsti ugovora (časnička, profesionalna ili pričuvnička služba) i stupnju službe. Za detalje pogledajte odgovarajuće članke navedenih propisa.  
*Napomena: Ova informacija temelji se na općem znanju o hrvatskom vojnom zakonu.</t>
  </si>
  <si>
    <t xml:space="preserve">Pravilnik o TVO utvrduje da rocnik za vrijeme osposobljavanja ostvaruje pravo na placu odnosno naknadu u iznosu odredenom zakonom kojim se ureduje sluzba (dakle upucuje na Zakon o sluzbi), naknadu troskova javnog prijevoza, osnovno i dopunsko zdravstveno osiguranje, osiguranje od nesretnog slucaja i ozljede na radu, smjestaj, prehranu te odoru i sportsku opremu. Pritom Pravilnik o TVO izrijekom propisuje da se zivot i rad rocnika provodi u skladu s propisima o sluzbi u Oruzanim snagama - cime se na rocnika primjenjuje opci rezim dnevnih aktivnosti, izlazaka i unutarnje sluzbe iz Pravilnika o sluzbi u OSRH. Time se posebni status rocnika (TVO) i opci rezim pripadnika OS spajaju u jedinstven pravni okvir.</t>
  </si>
  <si>
    <t xml:space="preserve">Objasnite kako su sloboda vjeroispovijedi i rad dusobriznika uredeni od ustavne razine do svakodnevne provedbe u postrojbi, povezujuci Ustav, Pravilnik o sluzbi u OSRH i raspored dnevnih aktivnosti.</t>
  </si>
  <si>
    <t xml:space="preserve">Graph i Vanilla pogode čl.40; RAG pobrka pojam dragovoljaca</t>
  </si>
  <si>
    <t xml:space="preserve">Sloboda vjeroispovijedi u Republici Hrvatskoj zajamčena je **Člankom 40.** Ustava RH, prema kojem svatko ima pravo na slobodno ispovijedanje vjere i javno izražavanje svojih uvjerenja.  
### **Upravljanje vjerskim potrebama vojnika (Dušebrižnička služba):**  
1. **Zakonska osnova:**  
   - **Zakon o službi u OSRH (čl. 87.)** predviđa pružanje duhovne skrbi vojnicima, uključujući mogućnost posjeta dušobrižnika.  
   - **Pravilnik o organizaciji i načinu obavljanja službe u OSRH (NN 9/16)** detaljno regulira provođenje vjerskih potreba, uključujući rasporede bogoslužja i suradnju s crkvama.  
2. **Dnevni raspored i provedba:**  
   - Vojnici mogu zatražiti duhovnu pomoć putem zapovjednog lanca ili direktno kod kapelana.  
   - Dušobrižnička služba organizira tjedne mise, svetkovice i druge vjerske događaje prema crkvenom kalendaru.  
   - Vojnici različitih vjera imaju pravo na privatno molitveno vrijeme unutar dopuštenih sati.  
3. **Nadležno tijelo:**  
   - Za katoličku vjeru: Biskupski ordinarijat i Vojni ordinarijat RH.  
   - Za ostale vjere: Koordinacija sa službenim predstavnicima pojedinih zajednica.  
Napomena: Informacije se temelje na važećim propisima i praksi u OSRH. Slobodna vjeroispovijest uključuje i poštovanje sekularnosti postrojbe, gdje se vjerski simboli ne ističu u službenoj uniformi osim ako to dozvoljavaju pravila određene vjere.</t>
  </si>
  <si>
    <t xml:space="preserve">Ustav RH jamci slobodu savjesti i vjeroispovijedi te slobodno javno ocitovanje vjere. Pravilnik o sluzbi u OSRH tu slobodu prenosi u vojni kontekst: pripadnicima se jamci sloboda vjeroispovijedi i slobodno javno ocitovanje vjerskog ili drugog uvjerenja, izrijekom se zabranjuje vrijedanje i poruga na toj osnovi, a dusobriznici svojim radom pridonose domoljublju te vjerskoj ravnopravnosti i snosljivosti. Na operativnoj razini, rad dusobriznika - predstavnika vjerskih zajednica uvrstava se u raspored dnevnih aktivnosti, u skladu s ugovorima i protokolima sklopljenima s vjerskim zajednicama. Tako ustavno pravo dobiva konkretan vremenski i organizacijski okvir unutar postrojbe.</t>
  </si>
  <si>
    <t xml:space="preserve">Kompleksna – 1 dokument</t>
  </si>
  <si>
    <t xml:space="preserve">Objasnite razlike između uporabe i korištenja Oružanih snaga prema Zakonu o obrani, uključujući tko donosi odluke u svakom slučaju.</t>
  </si>
  <si>
    <t xml:space="preserve">RAG djelomično točan; Vanilla obrnuo pojmove; Graph fabricira članak</t>
  </si>
  <si>
    <t xml:space="preserve">Prema **Zakonu o obrani** (Narodne novine br. 76/05 i sl.), postoje jasne razlike između **upotrebe** i **korištenja** Oružanih snaga, kao i različiti postupci donošenja odluka ovisno o situaciji.  
### **1. Korištenje Oružanih snaga**  
- Prema **čl. 9.** Zakona, korišćenjem se podrazumijeva upotreba snaga i sredstava OSRH u miru, npr. za održavanje reda, potporu civilnim institucijama ili sudjelovanje u međunarodnim misijama.  
- Odluku o korištenju donosi **Predsjednik Republike** po preporuci Vlade (**čl. 8.**).  
### **2. Upotreba Oružanih snaga**  
- Prema **čl. 10.**, upotrebom se podrazumijeva aktivno djelovanje u ratu, izvanrednom stanju ili agresiji protiv RH.  
- U tom slučaju odluku donosi **Vlada** nakon savjetovanja s Predsjednikom i Glavnim stožerom OSRH.  
### **Ključna razlika**  
- **Korištenje** odnosi se na mirnodopsko razdoblje i redovitu provedbu zadaća.  
- **Upotreba** uključuje ratne operacije i izvanredne situacije.  
Napomena: Ova informacija temelji se na Zakonu o obrani i pripadajućim pravilnicima. Za detaljnije tumačenje potrebno je dodatno proučavati važeće propise.</t>
  </si>
  <si>
    <t xml:space="preserve">Uporaba obuhvaća borbeno djelovanje. Odluke donose najviša tijela vlasti ovisno o situaciji: u ratnom stanju Predsjednik naređuje samostalno; u stanju neposredne ugroženosti Predsjednik uz supotpis predsjednika Vlade; za prelazak granice Sabor na prijedlog Vlade uz prethodnu suglasnost Predsjednika; za pomoć saveznicama i operacije u inozemstvu Sabor na prijedlog Vlade uz suglasnost Predsjednika. Korištenje obuhvaća neborbeno djelovanje unutar RH. Razina odlučivanja niža je i prilagođena vrsti zadaće: u katastrofama odlučuje Vlada; u velikim nesrećama, protupožarnoj zaštiti i traganju i spašavanju odlučuje ministar obrane; za pomoć policiji na granici odlučuje Vlada uz suglasnost Predsjednika.</t>
  </si>
  <si>
    <t xml:space="preserve">Koja su prava i obveze ročnika tijekom temeljnog vojnog osposobljavanja prema Pravilniku o temeljnom vojnom osposobljavanju?</t>
  </si>
  <si>
    <t xml:space="preserve">RAG i Graph gotovo savršeno reproduciraju čl.18; Vanilla izmišlja</t>
  </si>
  <si>
    <t xml:space="preserve">Prema **Pravilniku o temeljnom vojnom osposobljavanju** (NN br. 9/08), ročnici imaju sljedeća prava i obveze:  
### **Obveze:**  
- Ispunjavanje svih zapovjedi nadređenih (čl. 7).  
- Aktivno sudjelovanje u obuci i vježbama (čl. 6).  
- Poštivanje reda, discipline i propisa (čl. 8).  
- Čuvanje vojne tajne (čl. 10).  
### **Prava:**  
- Pravo na zdravstvenu zaštitu i medicinski pregled (čl. 12).  
- Pravo na obrazovanje i kulturne aktivnosti (čl. 13).  
- Pravo na pritužbu protiv nepravednog postupka (čl. 14).  
- Pravo na naknadu štete ako dođe do ozljede ili smrti (čl. 15).  
Nadležno tijelo za provedbu je Ministarstvo obrane RH (čl. 1).  
*Napomena: Ova informacija temelji se isključivo na Pravilniku o temeljnom vojnom osposobljavanju.</t>
  </si>
  <si>
    <t xml:space="preserve">Obveze ročnika — Življenje i rad u skladu s propisima o službi u OS-u, osposobljavanje za specijalnost 11A (strijelac), polaganje svečane prisege pred ministrom obrane te pridržavanje vojnih pravila i discipline. Financijska prava — Ročnik ostvaruje pravo na plaću ili naknadu prema Zakonu o službi te naknadu troškova prijevoza od mjesta prebivališta do mjesta osposobljavanja i natrag. Zdravstvena zaštita — Osigurano je osnovno i dopunsko zdravstveno osiguranje, osiguranje od ozljede na radu te osiguranje od nesretnog slučaja. Materijalna prava — Ročniku se osiguravaju smještaj, prehrana, vojna odora i sportska oprema. Priznanja — Najboljem ročniku naraštaja dodjeljuje se posebna značka. Uz to, ostvaruje pravo prednosti pri izboru mjesta službe u slučaju prijma u djelatnu vojnu službu.</t>
  </si>
  <si>
    <t xml:space="preserve">Objasnite razlike između mirnodopskog i ratnog sastava Oružanih snaga prema Zakonu o službi.</t>
  </si>
  <si>
    <t xml:space="preserve">RAG i Graph točno nabrajaju mirnodopski sastav; Vanilla izmišlja domobranstvo</t>
  </si>
  <si>
    <t xml:space="preserve">Prema **Zakonu o službi u Oružanim snagama Republike Hrvatske** (Narodne novine broj 76/06), razlike između mirnodopskog i ratnog sastava Oružanih snaga određene su slijedećim načinom:  
### **Mirnodopski sastav**  
- Definisan je člankom **8.** Zakona – uključuje aktivnu vojsku, pričuve i domobranstvo.  
- Sastoji se od profesionalnih vojnika, ročnih vojnika i dragovoljaca.  
- Nadzor obavlja Ministarstvo obrane RH.  
### **Ratni sastav**  
- Definisan je člankom **9.** Zakona – uključuje sve pripadnike koji mogu biti pozvani u službu tijekom rata ili izvanrednog stanja.  
- Obavlja se mobilizacijom, uključujući pričuvnike i dragovoljce.  
- Upravljanje ratnim sastavom regulirano je člankom **10.** Zakona, gdje se navodi da ratno stanje može proglasiti Vlada RH uz suglasnost Sabora.  
### **Nadležno tijelo**  
Za ratni sastav, odluka o mobilizaciji donosi **Vlada RH** (članak **10.**), dok mirnodopski sastav koordinira **Ministarstvo obrane**.  
Napomena: Ova informacija temelji se isključivo na Zakonu o službi u Oružanim snagama RH (NN 76/06).</t>
  </si>
  <si>
    <t xml:space="preserve">Mirnodopski sastav — Čine ga djelatne vojne osobe, službenici i namještenici, pričuvnici pozvani na službu, ugovorni pričuvnici, kadeti te ročnici na temeljnom vojnom osposobljavanju. Veličina je određena mirnodopskim ustrojem, a svrha redovno funkcioniranje OS-a. Ratni sastav — Obuhvaća sve kategorije mirnodopskog sastava uz dodatak mobiliziranih i razvrstanih pričuvnika, nerazvrstanih pričuvnika te drugih vojnih obveznika. Veličina je određena ratnim ustrojem. Svrha je borbeno djelovanje. Prijelaz između sastava — Provodi se mobilizacijom koju naređuje Predsjednik Republike u ratnom stanju ili stanju neposredne ugroženosti. Mobilizacija može biti opća ili djelomična, a njome OS prelaze iz mirnodopskog u ratno ustrojstvo.</t>
  </si>
  <si>
    <t xml:space="preserve">Objasnite postupak i uvjete za odgodu temeljnog vojnog osposobljavanja prema Zakonu o obrani.</t>
  </si>
  <si>
    <t xml:space="preserve">RAG savršeno: rok 8 dana, dokumentacija; Graph izmišlja članak; Vanilla izmišlja</t>
  </si>
  <si>
    <t xml:space="preserve">Prema **Zakonu o obrani** (Narodne novine broj 76/05 i izmjene), postupak i uvjeti za odgodu temeljnog vojnog osposobljavanja regulirani su člancima 89., 90. i 91.  
### **Postupak za odgodu:**  
1. **Članak 89.** – Osoba koja želi odgodu mora podnijeti zahtjev nadležnom tijelu najkasnije **30 dana prije roka za polazak na osposobljavanje**.  
2. **Članak 90.** – Zahtjev se prosljeđuje zapovjedniku postrojbe ili ustanove gdje bi se trebalo provesti osposobljavanje.  
3. **Članak 91.** – Povjerenstvo osniva zapovjednik postrojbe radi ocjenjivanja opravdanosti odgođenog razloga (npr. obrazovanje, zdravstveno stanje).  
### **Uvjeti za odgodu:**  
- **Obrazovanje:** Ako osoba pohađa fakultet, strukovnu školu ili poslijediplomski studij, može zatražiti odgodu dok završi studij.  
- **Zdravstveni razlozi:** Ako postoji medicinska indikacija (npr. kronična bolest), potrebna je potvrda liječnika.  
- **Društveni razlozi:** Npr. skrb o teškoj bolesnoj osobi ili skrbi o maloljetnoj djeci.  
### **Nadležno tijelo:**  
- **Zapovjednik postrojbe** donosi odluku nakon preporuke povjerenstva.  
Napomena: Ova informacija temelji se na člancima Zakona o obrani koji reguliraju odgodu osposobljavanja. Za detaljnije upute preporučuje se kontaktirati **Hrvatske oružane snage** ili **MUP RH**.</t>
  </si>
  <si>
    <t xml:space="preserve">Odgoda upućivanja na Temeljno vojno osposobljavanje regulirana je Zakonom o obrani i provedbenim propisima. Postupak — Zahtjev se podnosi područnom odjelu za poslove obrane u roku od 8 dana od primitka poziva, preporučenom poštom ili elektronički, uz priloženu dokumentaciju koja opravdava odgodu. Razlozi za odgodu — Školovanje: kandidat upisan na visoko učilište može podnijeti zahtjev svake akademske godine, najdulje do kraja godine u kojoj navršava 29 godina. Obiteljski razlozi: smrt člana uže obitelji ili situacija u kojoj bi upućivanje obitelj dovelo u težak položaj. Odlučivanje — Područni odjel donosi rješenje u upravnom postupku kojim se utvrđuje konkretan rok odgode. Protiv rješenja moguća je žalba i pokretanje upravnog spora.</t>
  </si>
  <si>
    <t xml:space="preserve">Objasnite cjelovit sustav unutarnje sluzbe u vojnom objektu prema Pravilniku o sluzbi u OSRH - koje funkcije obuhvaca, tko se na njih rasporeduje i tko je izuzet.</t>
  </si>
  <si>
    <t xml:space="preserve">Sve tri djelomične; nijedna ne navodi izuzeća (dušobrižnici, trudnice)</t>
  </si>
  <si>
    <t xml:space="preserve">Prema **Pravilniku o službi u Oružanim snagama Republike Hrvatske (Narodne novine br. 97/06)**, unutarnja služba u vojnom objektu obuhvaća niz funkcija usmjerenih na održavanje reda, sigurnosti i funkcioniranja objekta.  
### Funkcije unutarnje službe uključuju:  
1. **Nadzor ulaza i izlaza** – osiguranje pristupa objektima i osoba.  
2. **Bezbednosno motrenje** – praćenje područja objekta radi sprječavanja opasnosti.  
3. **Goruća i požarna sigurnost** – kontrola dimnjaka, ventilacijskih kanala i protupožarnih uređaja.  
4. **Redovno čišćenje i održavanje** – čistoća prostorija i infrastrukture.  
5. **Logistička podrška** – zbrinjavanje otpada, opskrbljivanje vodom i energijom.  
### Raspodjela dužnosti:  
- **Časnici i dočasnici** zaduženi su za koordinaciju i nadzor.  
- **Mornari/vojnici** izvršavaju operativne zadaće (npr. nadzor, čišćenje).  
- **Strojarski tehničari** bave se tehničkim aspektima (ventilacija, grijanje).  
### Izuzimanja:  
- **Zapovjednik postrojbe** može osloboditi određene jedinice od unutarnje službe ako postoji opravdan razlog (npr. intenzivna priprema za misiju).  
- **Invalidi rata ili vojne osobe s invaliditetom** mogu biti izuzeti ako zdravstveno stanje to onemogućuje.  
Za detaljnije upute pogledajte **Pravilnik o službi u OSRH, članak 8.** (Detalji o internim procedurama).</t>
  </si>
  <si>
    <t xml:space="preserve">Unutarnja sluzba organizira se neprekidno radi osiguranja rada, zastite ljudi, objekata i sredstava, a obuhvaca osiguranje objekata (straza i strazarska sluzba), nadzorno-propusnu sluzbu, dezurstvo i protupozarnu sluzbu. Na duznosti se u pravilu odreduju vojne osobe, iznimno i drzavni sluzbenici i namjestenici za nadzorno-propusnu i protupozarnu sluzbu. Izuzimaju se dusobriznici i trudnice, a djelatnici vojno-obavjestajnog roda ne rasporeduju se; pojedinci mogu biti privremeno oslobodeni na ocjenu vojnog lijecnika. Majka s djetetom do tri godine i samohrani roditelj s djetetom do sest godina mogu se odrediti samo uz osobni pristanak. Osoba se o duznosti obavjestava najkasnije sedam dana prije.</t>
  </si>
  <si>
    <t xml:space="preserve">Detaljno opisite postupak podnosenja i rjesavanja molbi, prituzbi i prigovora prema Pravilniku o sluzbi u OSRH, ukljucujuci rokove i ogranicenja.</t>
  </si>
  <si>
    <t xml:space="preserve">RAG i Graph pogode rok 15 dana; nedostaju rok od 3 dana i zabrana skupnih</t>
  </si>
  <si>
    <t xml:space="preserve">Postupak podnosenja i rješavanja molbi, pritužbi i prigovora prema **Pravilniku o službi u Oružanim snagama Republike Hrvatske (Narodne novine br. 97/06)** reguliran je u poglavljima koja se odnose na unutarnje postupke i upravljanje zaposlenicima.  
### **Molbe**  
1. **Podnošenje** – Molba se podnosi pismeno ili elektronski nadređenom rukovoditelju ili nadležnom tijelu unutar roka od 8 radnih dana nakon primitka odluke koju podnositelj želi ispraviti.  
2. **Rokovi** – Na molbu mora biti odgovoreno najkasnije u roku od 15 radnih dana od njezina zaprimanja.  
3. **Obradnja** – Ako se zahtjev ne ispuni, podnositelj može podnijeti prigovor nadređenom tijelu.  
### **Priruži**  
1. **Podnošenje** – Prigovor se podnosi pismeno ili elektronski nadležnom tijelu u roku od 8 radnih dana nakon primitka odluke koju podnositelj smatra nepravednom.  
2. **Rokovi** – Na prigovor mora biti odgovoreno najkasnije u roku od 15 radnih dana od zaprimanja.  
3. **Obradnja** – Ako se prigovor ne usvoji, podnositelj može podnijeti žalbu Upravnom sudu RH.  
### **Žalba Upravnom sudu**  
1. **Podnošenje** – Žalba se podnosi u roku od 15 radnih dana nakon primitka konačne odluke.  
2. **Rokovi** – Upravni sud mora donijeti odluku u roku od 30 radnih dana od zaprimanja žalbe.  
### **Navedena ograničenja**  
- Pravo na podnošenje molbi i prigovora imaju samo aktivni i pričuvni pripadnici OSRH.  
- Postupci se vode prema internim pravilnicima i Zakonu o službi u OSRH (NN 97/06).  
Napomena: Ova informacija temelji se na općem znanju o hrvatskom vojnom zakonu.</t>
  </si>
  <si>
    <t xml:space="preserve">Pripadnik OS moze nadredenom usmeno upucivati ili pisano podnositi molbe, prituzbe i prigovore. Molbu primljenu u pisanom obliku nadredeni rjesava najzurnije, a najkasnije u roku od 15 dana; ako nije nadlezan, u roku od pet dana prosljeduje je nadleznom tijelu i obavjestava podnositelja. Prituzba protiv nadredenog podnosi se iskljucivo pisano, najkasnije u roku od tri dana od dogadaja, a nadredeni protiv kojeg je podnesena ne smije je sam rjesavati nego je salje visem nadredenom. Skupne prituzbe nisu dopustene - svatko podnosi zasebno i osobno je obrazlaze. Prituzba se moze povuci prije odluke, a svjesno neosnovana ponovljena prituzba povlaci posljedice.</t>
  </si>
  <si>
    <t xml:space="preserve">Objasnite obveze pripadnika Oruzanih snaga tijekom i nakon oruzanog sukoba te u zarobljenistvu prema Pravilniku o sluzbi u OSRH.</t>
  </si>
  <si>
    <t xml:space="preserve">RAG spominje humanitarno pravo; sve tri nepotpune o zarobljeništvu</t>
  </si>
  <si>
    <t xml:space="preserve">Prema **Pravilniku o službi u Oružanim snagama Republike Hrvatske (Narodne novine br. 97/06)**, članku 8., pripadnici OSRH imaju sljedeće obveze:  
1. **Tijekom oružanog sukoba**:  
   - Slijede zapovjedi nadređenih i pravila ratovanja (članak 8. stavak 1.).  
   - Ne smiju sudjelovati u zlodjelima protiv ljudnosti ili ratnim zločinima (članak 8. stavak 2.).  
2. **Nakon sukoba**:  
   - Ispunjavaju dužnosti prema zakonu i internim propisima (npr. povratak na redovni posao, ako nisu demobilizirani).  
   - U slučaju povrede pravila službe, podliježu disciplinskom postupku (članak 8. stavak 3.).  
3. **U zarobljenštvu**:  
   - Prema međunarodnom pravu (Haška pravila), moraju se odnositi prema zarobljenicima humanitarno.  
   - Pridržavaju se propisa zarobljeništva do oslobođenja (npr. članak 11. Pravilnika o službi u OSRH).  
**Napomena**: Informacije su izlučne iz važećeg hrvatskog zakonodavstva i Pravilnika o službi u OSRH. Za dodatne detalje pogledajte članke 8. i 11. navedenog Pravilnika.</t>
  </si>
  <si>
    <t xml:space="preserve">Tijekom sukoba pripadnici su duzni izvrsavati duznosti svim snagama i postivati medunarodno ratno i humanitarno pravo, osobito stiteci stanovnistvo, zdravstveno i vjersko osoblje, ranjenike i zarobljenike te kulturna dobra. Zabranjeno je napustanje polozaja i odbijanje duznosti; odvojene osobe prikljucuju se najblizoj postrojbi. Nakon sukoba zapovjednici preustrojavaju i popunjavaju postrojbu te se provodi identifikacija i pokapanje poginulih i asanacija terena. U zarobljenistvu osoba priopcava samo ime, prezime, cin, datum rodenja i maticni broj, postupa po medunarodnom pravu i ne smije davati podatke stetne za OS; sa zarobljenicima se postupa covjecno, bez zlostavljanja.</t>
  </si>
  <si>
    <t xml:space="preserve">Detaljno opisite sustav i vrste uzbune prema Pravilniku o sluzbi u OSRH - koje vrste postoje, tko ih zapovijeda i sto obuhvaca uputa za borbenu uzbunu.</t>
  </si>
  <si>
    <t xml:space="preserve">RAG i Graph pogode borbenu/mobilizacijsku; Vanilla izmišlja vrste</t>
  </si>
  <si>
    <t xml:space="preserve">Prema **Pravilniku o službi u Oružanim snagama Republike Hrvatske (OSRH)**, sustav uzbuni podijeljen je u nekoliko vrsta ovisno o ozbiljnosti situacije i potrebnoj reakciji snaga.  
### **Vrste uzbune:**  
1. **Redovna uzbuna** – Najčešća, uključuje redovitu kontrolu i pripravnost postrojbi.  
2. **Borbena uzbuna** – Izvodi se kada postoji izravna prijetnja ili ratno djelovanje.  
3. **Krizna uzbuna** – Primjenjuje se u slučaju izvanrednih situacija (npr. prirodne katastrofe).  
4. **Posebna uzbuna** – Za specifične zadaće (npr. sudjelovanje u međunarodnim operacijama).  
### **Tko zapovijeda uzbunom?**  
- **Glavni zapovjednik OSRH** (predstavlja Vlada RH) može proglasiti nacionalnu uzbunu.  
- **Zapovjednici rodova OSRH** (kopnene, zračne, pomorske snage) mogu izdavati lokalne uzburne naredbe.  
- **Zapovjednici postrojbi** (brigade, pukovnije itd.) izvršavaju uzbune unutar svoje strukture.  
### **Uputstvo za borbenu uzbunu:**  
Ako se izdaje **borbena uzbuna**, slijede se sljedeći koraci:  
1. **Neposredno slanje naredbe** putem komunikacijskih sredstava (radijski, digitalni sustavi).  
2. **Priprema opreme i streljiva** – Vojnici moraju biti spremni za brzo pokretanje.  
3. **Iskazivanje na položaj** – Postrojbe kreću prema zadanim točkama.  
4. **Potvrda spreme** – Zapovjednik mora potvrditi da su svi elementi postrojbe prisutni.  
Izvor: **Pravilnik o službi u Oružanim snagama Republike Hrvatske (Narodne novine br. 97/06 i dopune)**.</t>
  </si>
  <si>
    <t xml:space="preserve">Cilj uzbune je dovodenje postrojbe na potreban stupanj spremnosti prikupljanjem u planiranom vremenu na mjestima za uzbunu, gdje se dijeli streljivo i oprema te provjerava brojno stanje. Uzbuna moze biti borbena, mobilizacijska, zbog prirodnih/tehnicko-tehnoloskih/ekoloskih nesreca te radi obuke, uvjezbavanja i provjere. Signal za borbenu uzbunu jedinstven je i propisuje ga ministar obrane; mobilizacijsku uzbunu zapovijeda zapovjednik postrojbe s pricuvnim sastavom ili ovlasteno dezurno tijelo, a provodi se prema pravilniku o mobilizaciji. Uputa za borbenu uzbunu odreduje tko je zapovijeda, signal, duznosti dezurnih, nacin obavjescivanja, postupak pojacavanja straze, mjesta za uzbunu i redoslijed izlaska, organizaciju obrane i potpore te signal za prestanak.</t>
  </si>
  <si>
    <t xml:space="preserve">Jednostavna</t>
  </si>
  <si>
    <t xml:space="preserve">Kada nastaje vojna obveza za državljane Republike Hrvatske?</t>
  </si>
  <si>
    <t xml:space="preserve">RAG i Graph savršeno (18 g, čl.19); Vanilla potpuno netočno (rođenjem)</t>
  </si>
  <si>
    <t xml:space="preserve">Vojna obveza za građane Republike Hrvatske počinje rođenjem djeteta muškog spola (muškarci). Prema članku **6.** Zakona o vojnoj obvezi (Narodne novine br. 98/07), muškarci su dužni služiti vojnu obvezu od 18. do 30. godine života. Međutim, prema članku **7.** istog zakona, rok započinjanja vojne obaveze može se produžiti ili skratiti ovisno o potrebama vojske.  
Za dodatne informacije pogledajte članak **1.** Pravilnika o provedbi Zakona o vojnoj obvezi (NN br. 112/07) koji detaljnije regulira postupak utvrđivanja početka vojne obaveze.  
Napomena: Ova informacija temelji se na Zakonu o vojnoj obvezi i pripadajućim pravilnicima. U slučaju promjene zakona, potrebno je provjeriti najnoviju verziju propisa.</t>
  </si>
  <si>
    <t xml:space="preserve">Vojna obveza nastaje u kalendarskoj godini u kojoj državljanin Republike Hrvatske navršava 18 godina života.</t>
  </si>
  <si>
    <t xml:space="preserve">Koliko traje temeljno vojno osposobljavanje?</t>
  </si>
  <si>
    <t xml:space="preserve">RAG točno 'dva mjeseca'; Vanilla '60 dana' (ekvivalentno); Graph netočno 30 dana</t>
  </si>
  <si>
    <t xml:space="preserve">Temeljno vojno osposobljavanje u Hrvatskoj traje **60 dana**.  
Izvor: *Zakon o vojnim obvezama* (čl. 78).  
Dodatno, Pravilnik o provedbi Zakona o vojnim obvezama (NN 9/04) detaljnije regulira trajanje i sadržaj osposobljavanja.  
Napomena: ako se radi o profesionalcima ili pričuvnicima, rok može varirati ovisno o kategoriji.</t>
  </si>
  <si>
    <t xml:space="preserve">Temeljno vojno osposobljavanje traje dva mjeseca.</t>
  </si>
  <si>
    <t xml:space="preserve">Tko je vrhovni zapovjednik Oružanih snaga Republike Hrvatske?</t>
  </si>
  <si>
    <t xml:space="preserve">RAG i Graph točno (Predsjednik); Vanilla potpuno netočno (Sabor/Vlada)</t>
  </si>
  <si>
    <t xml:space="preserve">Prema **Zakonu o obrani** (Narodne novine br. 97/02), **Sabor Republike Hrvatske** ima ulogu vrhovnog zapovjednika Oružanih snaga RH. Međutim, u praksi, predsjednik Vlade RH obavlja funkciju vrhovnog zapovjednika kada Sabor ne zasjeda ili prema odluci Sabora.  
Detaljnije:  
- Članak 6. Zakona o obrani: *"Vrhovno zapovjedništvo Oružanih snaga Republike Hrvatske obavlja Vlada Republike Hrvatske."*  
- Prema Ustavu RH (čl. 89.), predsjednik Vlade može biti imenovan vrhovnim zapovjednikom po odluci Sabora.  
Napomena: Ova informacija temelji se na zakonskim odredbama, a ne na trenutnoj političkoj praksi.</t>
  </si>
  <si>
    <t xml:space="preserve">Predsjednik Republike Hrvatske je vrhovni zapovjednik Oružanih snaga Republike Hrvatske.</t>
  </si>
  <si>
    <t xml:space="preserve">Koje su tri grane Oružanih snaga Republike Hrvatske?</t>
  </si>
  <si>
    <t xml:space="preserve">Vanilla i RAG sve tri grane; Graph odsječen na dvije</t>
  </si>
  <si>
    <t xml:space="preserve">Tri glavne grane Oružanih snaga Republike Hrvatske su:  
1. **Hrvatska kopnena vojska** (HRZ) – regulirana člankom 6. Zakona o obrani.  
2. **Hrvatska ratna mornarica** (HRM) – regulirana člankom 7. istog zakona.  
3. **Hrvatsko ratno zrakoplovstvo i protuzračna obrana** (HRZ i PZO) – regulirana člankom 8. Zakona o obrani.  
Sve tri grane zajedno čine jedinstveni sustav Oružanih snaga RH, a svaka ima svoje specifične zadaće i ustrojbene jedinice. Nadležno tijelo za upravljanje tim snagama je Ministarstvo obrane RH.</t>
  </si>
  <si>
    <t xml:space="preserve">Tri grane Oružanih snaga Republike Hrvatske su: Hrvatska kopnena vojska, Hrvatska ratna mornarica i Hrvatsko ratno zrakoplovstvo.</t>
  </si>
  <si>
    <t xml:space="preserve">Kada prestaje vojna obveza za muškarce?</t>
  </si>
  <si>
    <t xml:space="preserve">RAG i Graph točno (55 g); Vanilla netočno</t>
  </si>
  <si>
    <t xml:space="preserve">Vojna obveza za muškarce u Republici Hrvatskoj prestaje nakon izvršene osnovne vojne službe ili alternativne službe (npr. civilne službe). Prema **Zakonu o službi u Oružanim snagama RH** (NN br. 97/06), trajanje osnovne vojne službe iznosi 6 mjeseci, a nakon toga osoba prelazi u pričuvu.  
Međutim, prema **Narodnoj odluci o vojnom obvezniku** (NN br. 81/06), pojedinci mogu biti pozvani na osposobljavanje tijekom godina koje su u pričuvnom statusu (npr. godišnje osposobljavanje traje do 10 dana). Vojno-redarstveni rok (priča) može se produžiti ovisno o potrebama države.  
Za točne podatke o pojedincu (npr. datum završetka služe) potrebno je konzultirati evidencije MORH-a ili Vojnog upisa.  
Napomena: Ova informacija temelji se na općem znanju o hrvatskom zakonu o vojnoj obvezi. Za specifične slučajeve preporučuje se provjera službenih izvora.</t>
  </si>
  <si>
    <t xml:space="preserve">Vojna obveza za muškarce prestaje na kraju kalendarske godine u kojoj navršavaju 55 godina života.</t>
  </si>
  <si>
    <t xml:space="preserve">Tko imenuje načelnika Glavnog stožera Oružanih snaga?</t>
  </si>
  <si>
    <t xml:space="preserve">RAG najbolje opisuje lanac imenovanja; Graph nepotpun; Vanilla netočno (Vlada)</t>
  </si>
  <si>
    <t xml:space="preserve">Načelnika Glavnog stožera Oružanih snaga Republike Hrvatske imenuje Vlada Republike Hrvatske na prijedlog ministra obrane.  
**Temeljno pravo:**  
- **Zakon o obrani (Narodne novine broj 97/02)** – Članak 68.  
- **Zakon o službi u Oružanim snagama RH (NN br. 109/02)** – Ne sadrži izravnu odredbu o imenovanju načelnika GS OSRH, ali se odnosi na hijerarhiju zapovjedništva.  
Napomena: Prema Ustavu RH (NN br. 1/90), Vlada ima ovlast predlaganja kandidata za visoke vojne dužnosti nakon savjetovanja s relevantnim odborom Sabora.</t>
  </si>
  <si>
    <t xml:space="preserve">Načelnika Glavnog stožera Oružanih snaga imenuje Predsjednik Republike Hrvatske na prijedlog Vlade Republike Hrvatske i nakon pribavljenog mišljenja Odbora za obranu Hrvatskoga sabora.</t>
  </si>
  <si>
    <t xml:space="preserve">Koliko traje mandat načelnika Glavnog stožera?</t>
  </si>
  <si>
    <t xml:space="preserve">Sve pogode 4 god; RAG dodaje 'bez reizbora'; Graph fabricira URL</t>
  </si>
  <si>
    <t xml:space="preserve">Mandat načelnika Glavnog stožera Oružanih snaga Republike Hrvatske traje **4 godine** (članak 70. Zakona o obrani).  
Napomena: Ova informacija temelji se na Zakonu o obrani (Narodne novine 89/06) i ne zahtijeva dodatnu potvrdu iz konteksta pitanja.</t>
  </si>
  <si>
    <t xml:space="preserve">Načelnik Glavnog stožera imenuje se na razdoblje od četiri godine i bez mogućnosti reizbora.</t>
  </si>
  <si>
    <t xml:space="preserve">Što je temeljna svrha obrane Republike Hrvatske?</t>
  </si>
  <si>
    <t xml:space="preserve">RAG najčišći; Vanilla i Graph dodaju suvišno ali točno</t>
  </si>
  <si>
    <t xml:space="preserve">Temeljna svrha obrane Republike Hrvatske definirana je u **Zakonu o obrani** (Narodne novine br. 76/05). Prema članku 1., svrha obrane jest "zaštita suvereniteta, teritorijalne cjelovitosti i političke neovisnosti Republike Hrvatske te očuvanje mira i stabilnosti".  
Dodatno, prema članku 2. istog zakona, obrana uključuje i zaštitu građana, imovine i ključnih infrastrukturnih objekata od vanjskih i unutarnjih prijetnji. Nadležno tijelo za provedbu ove politike je **Ministarstvo obrane RH**.  
Napomena: ova informacija temelji se isključivo na Zakonu o obrani.</t>
  </si>
  <si>
    <t xml:space="preserve">Temeljna svrha obrane je očuvanje suvereniteta, neovisnosti i teritorijalne cjelovitosti Republike Hrvatske.</t>
  </si>
  <si>
    <t xml:space="preserve">Do koje dobi novak može biti upućen na temeljno vojno osposobljavanje?</t>
  </si>
  <si>
    <t xml:space="preserve">RAG točno 30 g; Vanilla 30 g ali izmišlja izvor; Graph netočno 29 g</t>
  </si>
  <si>
    <t xml:space="preserve">Prema **Zakonu o službi u Oružanim snagama Republike Hrvatske** (Narodne novine br. 97/06), članku 8., novaci mogu biti upućeni na temeljno vojno osposobljavanje do navršene 30. godine života. Međutim, postoje iznimke za pripadnike pričuve ili dragovoljce koji se regrutiraju nakon te dobne granice.  
Nadležno tijelo za provedbu ovog postupka je **Ministarstvo obrane RH** putem ustanova poput **Kralješnice vojne škole "Ban Josip Jelačić"**.  
Napomena: Informacija temelji se na važećem zakonu, a dodatne pojedinosti o izuzecima mogu se utvrditi kod nadležnog vojnog centra.</t>
  </si>
  <si>
    <t xml:space="preserve">Novak može biti upućen na temeljno vojno osposobljavanje do isteka 30 godina života.</t>
  </si>
  <si>
    <t xml:space="preserve">Tko donosi odluku o mobilizaciji Oružanih snaga?</t>
  </si>
  <si>
    <t xml:space="preserve">Nijedna ne pogađa (Predsjednik na prijedlog ministra); sve navode Vladu/Sabor</t>
  </si>
  <si>
    <t xml:space="preserve">Prema **Zakonu o obrani** (Narodne novine br. 97/02., 86/04., 133/06., 149/08., 132/10., 149/10., 132/11., 149/11., 132/12., 149/12., 132/13., 149/13., 132/14., 149/14., 132/15., 149/15., 132/16., 149/16.) i **Zakonu o službi u Oružanim snagama RH** (NN br. 132/11.), odluku o mobilizaciji donosi **Vlada Republike Hrvatske**.  
Specifični članci:  
- Članak 10. Zakona o obrani definira ovlasti Vlade u području obrane.  
- Pravilnik o provedbi Zakona o službi u OSRH (NN br. 149/11.) dodatno regulira postupke mobilizacije.  
Napomena: Ova informacija temelji se na važećim zakonskim aktima.</t>
  </si>
  <si>
    <t xml:space="preserve">Odluku o mobilizaciji Oružanih snaga donosi Predsjednik Republike na prijedlog ministra obrane.</t>
  </si>
  <si>
    <t xml:space="preserve">Kada prestaje vojna obveza za žene?</t>
  </si>
  <si>
    <t xml:space="preserve">RAG i Graph točno (50 g); Vanilla potpuno promašeno</t>
  </si>
  <si>
    <t xml:space="preserve">Žene u Republici Hrvatskoj imaju pravo na odbijanje vojne službe zbog vjerskih ili uvjerenja, prema članku **6. stavak 1.** Zakona o vojnoj obvezi (Narodne novine br. 97/08). Međutim, ako se ženska osoba odluči prijaviti za vojnu službu, njezina vojna obveza traje dok joj to dopušta zdravstveno stanje i zakonski rok.  
Za razliku od muškaraca, koji su dužni odslužiti vojni rok do određene dobi (obično do 30 godina), žene mogu biti pozvane na služenje samo ako se prijave. Prema članku **10.** istog zakona, rok služenja za žene može varirati ovisno o potrebama vojske.  
Napomena: Ova informacija nije pronađena u dostupnim dokumentima.</t>
  </si>
  <si>
    <t xml:space="preserve">Vojna obveza za žene prestaje na kraju kalendarske godine u kojoj navršavaju 50 godina života.</t>
  </si>
  <si>
    <t xml:space="preserve">U kojoj godini života se državljanin RH uvodi u vojnu evidenciju?</t>
  </si>
  <si>
    <t xml:space="preserve">RAG i Graph točno (18 g); Vanilla oklijeva i izmišlja zakon</t>
  </si>
  <si>
    <t xml:space="preserve">Glede pitanja o godini života u kojoj se građanin RH upisuje u vojnu evidenciju, valja napomenuti da se to obično događa nakon navršenog 18. godine života. Međutim, detaljnije odredbe o tome nalaze se u Zakonu o obveznim vojnim vježbama (NN br. 9/07) te Pravilniku o provedbi Zakona o obveznim vojnim vježbama (NN br. 6/08).  
Prema članku 1. stavku 1. Pravilnika, osobe koje su obvezne na vojne vježbe moraju biti stare između 18 i 30 godina u trenutku početka vježbi. Dakle, u vojnu evidenciju građani RH ulaze najranije s navršenih 18 godina, ali aktivno sudjelovanje započinje po završetku školovanja ili kad ih nadležno tijelo pozove na vojne vježbe.  
Za dodatne informacije preporučujem kontaktiranje Hrvatskog ratnog doma ili nadležnog županijskog inspektorata za obavezne vojne vježbe.</t>
  </si>
  <si>
    <t xml:space="preserve">Državljanin Republike Hrvatske uvodi se u vojnu evidenciju u kalendarskoj godini kada navrši 18 godina života.</t>
  </si>
  <si>
    <t xml:space="preserve">Tko proglašava ratno stanje u Republici Hrvatskoj?</t>
  </si>
  <si>
    <t xml:space="preserve">RAG točno (Sabor); Graph točno uz nijansu; Vanilla netočno (Predsjednik)</t>
  </si>
  <si>
    <t xml:space="preserve">Predsjednik Republike Hrvatske proglašava ratno stanje u Republici Hrvatskoj sukladno članku **98.** Ustava Republike Hrvatske.  
Napomena: Ova informacija temelji se na ustavnom pravu, a dodatne procedure i ovlasti utvrđene su posebnim zakonskim aktima (npr. Zakonom o obrani).</t>
  </si>
  <si>
    <t xml:space="preserve">Ratno stanje u Republici Hrvatskoj proglašava Hrvatski sabor.</t>
  </si>
  <si>
    <t xml:space="preserve">Koliko dana prije upućivanja ministar obrane donosi odluku o upućivanju kandidata na temeljno vojno osposobljavanje?</t>
  </si>
  <si>
    <t xml:space="preserve">Točno je 40 dana; RAG i Graph kažu 25; Vanilla kaže 7</t>
  </si>
  <si>
    <t xml:space="preserve">Napomena: ova informacija nije pronađena u dostupnim dokumentima.  
Prema općem znanju, odluka ministra obrane o upućivanju kandidata na temeljno vojno osposobljavanje obično se donosi najkasnije **7 dana** prije početka osposobljavanja, kako bi se omogućio adekvatan vremenski rok za pripreme i obavještavanje kandidata.  
Detaljnije odredbe mogu se naći u Pravilniku o provedbi Zakona o službi u Oružanim snagama RH (npr. članak 60.).</t>
  </si>
  <si>
    <t xml:space="preserve">Ministar obrane donosi odluku o upućivanju kandidata na temeljno vojno osposobljavanje u pravilu 40 dana prije upućivanja kandidata.</t>
  </si>
  <si>
    <t xml:space="preserve">Tko donosi program obuke ročnika na temeljnom vojnom osposobljavanju?</t>
  </si>
  <si>
    <t xml:space="preserve">RAG i Graph točno (načelnik GS); Vanilla netočno</t>
  </si>
  <si>
    <t xml:space="preserve">Program obuke ročnika na temeljnom vojnom osposobljavanju donosi Ministarstvo obrane Republike Hrvatske, a točnije Glavno zapovjedništvo Oružanih snaga RH (GZ OSRH) kroz svoje ustrojbene jedinice, kao što su Vojne škole i ustanove zadužene za obuku.  
Osnovu programa definiraju propisi poput **Zakona o službi u Oružanim snagama RH** (čl. 67.) te **Pravilnika o provedbi temeljnog vojnog osposobljavanja**. Nadležno tijelo za usklađivanje i provođenje programa je **Glavno stožerno vojno učilište "Blago Zadro"**.  
Napomena: Ova informacija temelji se na općem znanju o strukturi OSRH, a detaljniji dokumenti mogu biti dostupni samo putem službenih izvora.</t>
  </si>
  <si>
    <t xml:space="preserve">Program obuke ročnika na temeljnom vojnom osposobljavanju donosi načelnik Glavnog stožera Oružanih snaga Republike Hrvatske.</t>
  </si>
  <si>
    <t xml:space="preserve">Pred kim ročnici daju svečanu prisegu?</t>
  </si>
  <si>
    <t xml:space="preserve">RAG i Graph savršeno (ministar obrane); Vanilla netočno (zapovjednik)</t>
  </si>
  <si>
    <t xml:space="preserve">Ročnici (vojnici) u Hrvatskoj Oružanim snagama daju svečanu prisegu pred zapovjednikom postrojbe ili ustrojbene jedinice u kojoj služe. Prema **Zakonu o službi u Oružanim snagama RH** (čl. 60.), svečana prisega sastoji se od riječi:  
*"Svećano obećavam da ću vjerno služiti Republici Hrvatskoj, poštovati Ustav i zakone te čuvati čast oružanih snaga."*  
Nadležno tijelo za provođenje ceremonije je zapovjednik postrojbe, a prisega se ponavlja svake godine tijekom vojne službe.</t>
  </si>
  <si>
    <t xml:space="preserve">Ročnici daju svečanu prisegu pred ministrom obrane ili osobom koju on za to odredi.</t>
  </si>
  <si>
    <t xml:space="preserve">Za koju vojnostručnu specijalnost se ročnici osposobljavaju na temeljnom vojnom osposobljavanju?</t>
  </si>
  <si>
    <t xml:space="preserve">RAG i Graph točno (11A strijelac); Vanilla izmišlja specijalnosti</t>
  </si>
  <si>
    <t xml:space="preserve">Na temeljnom vojnom osposobljavanju (TvOS) ročnici se osposobljavaju za osnovne vojnosnurajne specijalnosti kao što su:  
- **Mehanizirana pješačka postrojba** (mehanizirane bojne),  
- **Raketno-topničke postrojbe** (raketne i topničke jedinice),  
- **Zrakoplovne postrojbe** (zrakoplovi i helikopteri),  
- **Graničarske postrojbe** (granične jedinice).  
Ovisno o potrebama OSRH, mogu se uključiti i druge specijalnosti poput inženjerije ili komunikacija. Osnovu čini članak **6. Zakona o službi u Oružanim snagama RH** koji definiše vojne stručne poslove.  
Napomena: Ova informacija temelji se na općem znanju o TvOS-u, a točan popis može varirati prema godišnjim planovima OSRH.</t>
  </si>
  <si>
    <t xml:space="preserve">Ročnici se osposobljavaju u temeljnim vojnim znanjima i sposobnostima u rodu pješaštva za streljačku specijalnost 11A, dužnost strijelca.</t>
  </si>
  <si>
    <t xml:space="preserve">Što čini mirnodopski sastav Oružanih snaga?</t>
  </si>
  <si>
    <t xml:space="preserve">RAG i Graph potpuno nabrajanje; Vanilla generičan</t>
  </si>
  <si>
    <t xml:space="preserve">Mirnodopski sastav Oružanih snaga Republike Hrvatske (OSRH) čini osoblje koje se bavi svakodnevnim aktivnostima i zadaćama izvan stanja rata ili neposredne opasnosti od rata. Ovaj sastav uključuje:  
1. **Redovni kadar** – Vojnici, dočasnici i časnici koji su stalno zaposleni u OSRH. Njihove aktivnosti uključuju obuku, održavanje opreme, planiranje i provođenje redovnih vježbi te sudjelovanje u međunarodnim misijama.  
2. **Reservisti** – Osobe s vojnom osnovom koje se regrutiraju tijekom kriza ili posebnih potreba.  
3. **Civilno osoblje** – Građevinari, tehničari, administrativni radnici i drugi civili koji podržavaju funkcije OSRH.  
Nadležno tijelo za organizaciju i upravljanje mirnodopskim sastavom je **Ministarstvo obrane RH**, a detalji su regulirani člancima **Zakona o obrani** (npr. članci 6., 7.) i **Pravilnika o ustroju OSRH**.  
Napomena: Ova informacija temelji se na općem znanju o strukturi OSRH, a točni brojčani podaci mogu varirati ovisno o trenutnoj reorganizaciji.</t>
  </si>
  <si>
    <t xml:space="preserve">Mirnodopski sastav Oružanih snaga čine: djelatne vojne osobe, službenici i namještenici, pričuvnici pozvani na službu u Oružane snage, ugovorni pričuvnici, kadeti te ročnici koji su pristupili temeljnom vojnom osposobljavanju.</t>
  </si>
  <si>
    <t xml:space="preserve">Tko utvrđuje mirnodopski i ratni ustroj Oružanih snaga?</t>
  </si>
  <si>
    <t xml:space="preserve">RAG i Graph točno (Predsjednik); Vanilla netočno (Vlada)</t>
  </si>
  <si>
    <t xml:space="preserve">Mirnodopski i ratni ustroj Oružanih snaga Republike Hrvatske utvrđuje Vlada Republike Hrvatske.  
Osnovu za to daje **Zakon o obrani** (Narodne novine, broj 76/02 i izmjene), a konkretno se odnosi na članak **8.**  
Napomena: Ova informacija temelji se na hrvatskom zakonu, a ne na dostupnom kontekstu pitanja.</t>
  </si>
  <si>
    <t xml:space="preserve">Predsjednik Republike utvrđuje mirnodopski i ratni ustroj Oružanih snaga te strukturu činova u mirnodopskom i ratnom ustroju Oružanih snaga.</t>
  </si>
  <si>
    <t xml:space="preserve">Koliko traje minimalno godišnji odmor djelatne vojne osobe?</t>
  </si>
  <si>
    <t xml:space="preserve">RAG točno 4 tjedna; Vanilla 20 dana krivo; Graph pobrka 16 dana</t>
  </si>
  <si>
    <t xml:space="preserve">Minimalno trajanje godišnjeg odmora djelatne vojne osobe određeno je člankom **80.** Zakona o službi u Oružanim snagama RH (Narodne novine br. 97/16). Prema tom članku, djelatna vojna osoba ima pravo na godišnji odmor u trajanju od najmanje **20 radnih dana** po kalendarskoj godini.  
Dodatne pojedinosti o ostvarivanju prava na godišnji odmor regulirane su Pravilnikom o ostvarivanju prava na godišnji odmor djelatnika MORH-a (NN br. 112/16), koji detaljnije definira uvjete i rokove za isplatu naknade za godišnji odmor.  
Napomena: ako se radi o vojnim osobama u pričuvnom sastavu ili pričuvnicima, pravo na godišnji odmor može biti drugačije uređeno ovisno o statusu i vrsti posla.</t>
  </si>
  <si>
    <t xml:space="preserve">Djelatna vojna osoba ima pravo na godišnji odmor u trajanju od najmanje četiri tjedna.</t>
  </si>
  <si>
    <t xml:space="preserve">Koliko dana plaćenog dopusta pripada djelatnoj vojnoj osobi u slučaju rođenja djeteta?</t>
  </si>
  <si>
    <t xml:space="preserve">RAG i Graph točno (7 dana); Vanilla netočno (8 tjedana)</t>
  </si>
  <si>
    <t xml:space="preserve">Djelatna vojna osoba ima pravo na **plaćeni roditeljski dopust** od **8 tjedana** nakon rođenja djeteta (članak 70. Pravilnika o ostvarivanju prava na roditeljski dopust).  
Ako se radi o aktivnom sudioniku u službi (npr. časniku), dodatno može imati pravo na dodatni dopust prema članku 69. istog Pravilnika. Nadležno tijelo za izdavanje potvrda je **Zapovjednik postrojbe** ili **HRM** ovisno o statusu osobe.  
Napomena: Informacije su preuzete iz Pravilnika o ostvarivanju prava na roditeljski dopust (NN 1/2019) koji se primjenjuje i na vojne osobe.</t>
  </si>
  <si>
    <t xml:space="preserve">Djelatna vojna osoba ima pravo na plaćeni dopust od sedam radnih dana u slučaju rođenja djeteta.</t>
  </si>
  <si>
    <t xml:space="preserve">Koliko dana plaćenog dopusta pripada djelatnoj vojnoj osobi u slučaju zaključenja braka?</t>
  </si>
  <si>
    <t xml:space="preserve">Sve tri točno (7 dana)</t>
  </si>
  <si>
    <t xml:space="preserve">Djelatna vojna osoba ima pravo na **7 dana** plaćenog dopusta u slučaju zaključenja braka, sukladno članku **80. stavku 1. točki a)** Pravilnika o ostvarivanju prava na godišnji odmor i druge oblike odmora u Oružanim snagama Republike Hrvatske (NN br. 9/16).  
Napomena: Ova informacija temelji se na važećim propisima koji reguliraju prava vojnog osoblja u Republici Hrvatskoj.</t>
  </si>
  <si>
    <t xml:space="preserve">Djelatna vojna osoba ima pravo na plaćeni dopust od sedam radnih dana u slučaju zaključenja braka.</t>
  </si>
  <si>
    <t xml:space="preserve">Što je vojna iskaznica i tko ju izdaje?</t>
  </si>
  <si>
    <t xml:space="preserve">RAG najbliži (javna isprava, područni odjel); Graph i Vanilla djelomično</t>
  </si>
  <si>
    <t xml:space="preserve">Vojna iskaznica (VI) je osobna iskaznica vojnog obveznika koja potvrđuje njegovo pravo na služenje vojne službe te sadrži podatke o obveznim vojnim rokovanjima i statusu u sustavu Oružanih snaga Republike Hrvatske.  
**Izdaje se od strane Ministarstva obrane RH** putem nadležnih jedinica, a to su:  
- **Zapovjedništva postrojbi** (npr. pješačke brigade, topničke brigade itd.)  
- **Regionalni centri za obuku i mobilizaciju**  
- **Središnja uprava MORH-a** (za posebne slučajeve)  
Iskaznica se izdaju nakon prijave na vojni rok ili u slučaju poziva na osposobljavanje/mobilizaciju. Za dodatne informacije pogledajte **Zakon o službi u Oružanim snagama RH (čl. 8–9)** i Pravilnik o vojnoj iskaznici (NN br. 107/20 od 2020.).</t>
  </si>
  <si>
    <t xml:space="preserve">Vojna iskaznica je javna isprava kojom vojni obveznik dokazuje identitet dok izvršava vojnu obvezu. Izdaje ju nadležni područni odjel za poslove obrane koji vojnog obveznika vodi u evidenciji.</t>
  </si>
  <si>
    <t xml:space="preserve">PROSJEK</t>
  </si>
  <si>
    <t xml:space="preserve">Detaljne ocjene po pitanju — RAG</t>
  </si>
  <si>
    <t xml:space="preserve">Odgovor modela (RAG)</t>
  </si>
  <si>
    <t xml:space="preserve">Transformacija novaka u razvrstanog pričuvnika regulirana je Zakonom o obrani 2025. Ovaj proces uključuje nekoliko ključnih koraka:
1. **Ocjena sposobnosti**  
   *(Članak 25. d, NN 136/25)*  
   - Kada dođe do promjene zdravstvenog stanja, nadležni područni odjel za poslove obrane upućuje razvrstanog pričuvnika na ocjenu sposobnosti.  
   - Ocjenu donosi nadležna liječnička komisija na temelju zdravstvene dokumentacije.  
   - Ako dokumentacija nije dovoljna, traži se dodatna dokumentacija.  
   - Rezultat se unosi u vojnu iskaznicu.
2. **Dodjela vojne stručne specijalnosti**  
   *(Članak 25. k, NN 136/25)*  
   - Prema utvrđenom zdravstvenom stanju i potrebama OSRH-a, može se odrediti drugi rod ili struka.
3. **Registracija u vojnu evidenciju**  
   *(Članak 21. h, NN 136/25)*  
   - Nakon ocjene sposobnosti, osoba se upisuje u evidenciju.  
   - Ako je ocijenjena nesposobnom, moguće je pozvati na reviziju.
4. **Suradnja s diplomatskim tijelima**  
   *(Članak 21. c, NN 136/25)*  
   - Novi koji borave u inozemstvu moraju se registrirati do 18. godine života.  
   - Oni izvan sustava mogu to učiniti do 29. godine.  
   - Potreban je certifikat države u kojoj je obveza izvršena.
5. **Programiranje osposobljavanja**  
   *(Članak 25. j, NN 136/25)*  
   - Nakon pozitivne ocjene, priključuje se na programe osposobljavanja.  
   - Termini se određuju prema potrebama OSRH-a.
6. **Upisivanje u pričuvni sustav**  
   *(Članak 25. r, NN 136/25)*  
   - Neispunjenje roka dovršetka osposobljavanja vraća osobu u status novaka.
Proces se temelji na koordinaciji između Ministarstva obrane, liječničkih komisija i diplomatskih predstavništava. Ključni dokumenti uključuju:  
- Vojnu iskaznicu  
- Evidenciju ročnika i pričuvnika *(Zakon o službi u OSRH 2025, Članak 32.)*  
- Pravilnike o zdravstvenim pregledima i osposobljavanju.  
Napomena: Postupak se primjenjuje isključivo na državljane RH i one s prebivalištem u zemlji. Inozemni državljani imaju poseban režim prema članku 21.</t>
  </si>
  <si>
    <t xml:space="preserve">Prema Ustavu Republike Hrvatske (Članak 100.) i Zakonu o obrani (Članak 46.), hijerarhija odlučivanja o uporabi Oružanih snaga u različitim situacijama je sljedeća:  
1. **U ratu** – Prema Ustavu (Članak 100., stavak 5.) i Zakonu o obrani (Članak 47.), odluku o uporabi Oružanih snaga donosi Predsjednik Republike.  
2. **U stanju neposredne ugroženosti** – Prema Ustavu (Članak 100., stavak 5.) i Zakonu o obrani (Članci 48. i 63.), odluku donose Predsjednik Republike uz supotpis predsjednika Vlade.  
3. **U ostalim slučajevima** – Prema Zakonu o obrani (Članak 48., stavak 2.), odluku donosi Vlada ili ministar obrane.  
Detaljnije:  
- **Predsjednik Republike** ima najvišu nadležnost u donošenju odluka o uporabi Oružanih snaga (Ustav, Članak 100.).  
- **Vlada** i **ministar obrane** također sudjeluju u donošenju odluka, ovisno o situaciji (Zakon o obrani, Članak 48., stavak 2.).  
- **Stalni mehanizam provedbe** – Sve odluke se izvršavaju putem zapovijedi načelnika Glavnog stožera (Zakon o obrani, Članak 46., stavak 3.).  
Napomena: Ova struktura vrijedi osim u izvanrednim situacijama gdje Predsjednik Republike može djelovati autonomnije (npr. prema Ustavu, Članak 100., stavak 5.).</t>
  </si>
  <si>
    <t xml:space="preserve">Sustav imenovanja i odgovornosti **načelnika Glavnog stožera** uređen je sljedećim propisima:
### **1. Imenovanje načelnika Glavnog stožera**  
- Prema **Članku 16. stavku 4. Zakona o obrani (2025.)**, **načelnik Glavnog stožera imenuje se na razdoblje od četiri godine i ne može biti ponovno imenovan**.  
- **Članak 123.** istog zakona navodi da osoba koja je na dužnosti načelnika Glavnog stožera na dan stupanja na snagu Zakona ostaje na dužnosti do isteka svog mandata.  
- **Propisivanje ustroja Glavnog stožera** vrši Predsjednik Republike na prijedlog načelnika Glavnog stožera i uz suglasnost ministra obrane (**Članak 16. stavak 5.**).  
### **2. Nadležnosti i odgovornosti načelnika Glavnog stožera**  
- Prema **Članku 70.** Zakona o obrani, načelnik Glavnog stožera ima **punu ovlast zapovijedanja u Oružanim snagama** temeljem odluka Predsjednika Republike i ministra obrane.  
- Dužan je **istodobno izvijestiti predsjednika i ministra** ako naredi privremeno stavljanje postrojbi u pripravnost zbog opasnosti (**Članak 70. stavak 4.**).  
- Prema **Članku 67.**, ministar obrane na prijedlog načelnika Glavnog stožera donosi odluke o opremanju, obuci i spremnosti dijelova Oružanih snaga.  
- Prema **Članku 75.**, načelnik Glavnog stožera odgovoran je za pripremu mobilizacije stožera, zapovjedništava i postrojbi.  
### **3. Pravni okvir i nadzor**  
- Iako Ustav (**Članak 103.**) ne spominje izravno načelnika Glavnog stožera, predviđa suradnju Predsjednika i Vlade u sigurnosnim pitanjima.  
- Prema **Članku 51.** Zakona o službi u Oružanim snagama, ministar obrane raspoređuje djelatne vojne osobe na ustrojbena mjesta, uključujući i one koje imenuje Predsjednik.  
### **Zaključak**  
Načelnik Glavnog stožera bira se na mandat od 4 godine, ima široke zapovjedne ovlasti potvrđene predsjednikom i ministrom obrane, ali ne može biti reizabran. Njegova djelokrug uključuje strateško upravljanje Oružanim snagama, mobilizaciju i koordinaciju s najvišim državnim tijelima.</t>
  </si>
  <si>
    <t xml:space="preserve">Prema **Zakonu o obrani** i **Ustavu Republike Hrvatske**, građani imaju različite oblike obveza u obrani:
### 1. **Vojna obveza**  
- Prema **Čl. 19.** Zakona o obrani, vojna obveza počinje kalendarskom godinom u kojoj građanin navrši 18 godina.  
- Građani su dužni proći osposobljavanje i sudjelovati u obrani (**Čl. 18., Stavak 1.**).  
- Dopušten je prigovor savjesti zbog vjerskih ili moralnih razloga (**Ustav, Čl. 47.**).  
### 2. **Radna obveza**  
- Prema **Čl. 29.** Zakona o obrani, Vlada može uvesti radnu obvezu za tijela državne vlasti i pravne osobe važne za obranu.  
- Osobe s radnom obvezom ne smiju prekinuti posao i moraju raditi prema ratnim sistematizacijama (**Čl. 29., Stavak 3.**).  
- Trudnice, majke i skrbnici s malom djecom izuzeti su (**Čl. 29., Stavak 5.**).  
### 3. **Materijalna obveza**  
- Građani su dužni pružiti materijalnu potporu (npr. financijska sredstva, opskrba) za potrebe obrane (**Čl. 18., Stavak 6.**).  
### 4. **Služenje u ugovornoj pričuvi**  
- Pričuvnici sklapaju ugovore za služenje u Oružanim snagama (**Čl. 18., Stavak 2.**).  
### 5. **Radna pomoć**  
- Prema **Čl. 31.** Zakona o obrani, Vlada može uvesti radnu pomoć u ratu ili neposrednoj ugrozi.  
### 6. **Ostala prava i obveze**  
- Građani imaju pravo na zaštitu i sudjelovanje u obrani putem drugih mehanizama (**Čl. 18., Stavak 7.**).  
Ove obveze pokrivaju sve aspekte sudjelovanja građana u obrani, od aktivnog služenja do pasivnih potpore. Nadležna tijela uključuju Vladu, Ministarstvo obrane i jedinice lokalne samouprave.</t>
  </si>
  <si>
    <t xml:space="preserve">Prema Ustavu Republike Hrvatske (Članak 47.), vojna obveza i obrana države jesu dužnost svih građana, no dopušten je prigovor savjesti onima koji zbog vjerskih ili moralnih uvjerenja ne žele sudjelovati u obavljanju vojničkih dužnosti u Oružanim snagama. Takve osobe moraju ispunjavati druge dužnosti određene zakonom.
Zakon o obrani (Članak 24.) detaljnije uređuje ovaj institut. Prema njemu, osobe koje podnose prigovor savjesti imaju pravo na civilnu službu umjesto vojne. Trajanje civilne službe iznosi tri mjeseca u tijelima državne uprave nadležnim za civilnu zaštitu. Međutim, postoje i iznimke kada se civilna služba može obavljati u jedinicama lokalne i područne (regionalne) samouprave, a traje četiri mjeseca.
Posljedice odabira civilne službe uključuju sljedeće:
- Osoba postaje civilni ročnik od dana dolaska u tijelo nadležno za civilnu zaštitu.
- Dužna je ispunjavati sve obveze propisane zakonom vezano za civilnu službu.
- Nakon isteka roka civilne službe, osoba se vraća u redovni život, a njezin status se ne razlikuje značajno od onih koji su odslužili vojnu službu.
Isključeni su iz mogućnosti odabira civilne službe oni koji su pravomoćno osuđeni na kazne zatvora, imaju kaznene prijave u tijeku ili posjeduju oružje bez dozvole. Također, osoba koja promijeni mišljenje i želi sudjelovati u vojnoj službi može biti upućena na osnovno vojno osposobljavanje.
Civilna služba predstavlja alternativu vojnoj obvezi, omogućavajući građanima poštivanje ustavnog prava na prigovor savjesti, istovremeno pridonoseći zajednici kroz rad u području civilne zaštite.</t>
  </si>
  <si>
    <t xml:space="preserve">Prema Zakonu o obrani (NN 136/25), članku 21. točki f, novačka obveza započinje kalendarskom godinom u kojoj građanin Republike Hrvatske navršava 18 godina života. U tom trenutku, nadležni područni odjel za poslove obrane poziva novaka na zdravstveni pregled i psihologijsko ispitivanje, kako je definirano u planu koji donosi ustrojstvena jedinica Ministarstva obrane nadležna za vojnu obvezu (članak 21. točka g).  
Na temelju rezultata tih ispita, ocjenjuje se sposobnost novaka za vojnu službu kao **sposoban** ili **nesposoban** (članak 21. točka 4). Ako je novak ocijenjen nesposobnim, ne šalje se na daljnje aktivnosti (članak 21. točka 2). S druge strane, ako je sposoban, upisuje se u vojnu evidenciju i može biti pozvan na temeljno vojno osposobljavanje (članak 21. točke h i n).  
Temeljno vojno osposobljavanje provodi se u skladu s planom koji donosi ministar obrane (članak 21. točka m), a traje dva mjeseca (članak 21. točka n). Nakon završetka, sposobni novaci dobivaju status ročnika i mogu nastaviti službu u pričuvnom sastavu (članak 21. točka p).  
Za dodatne detalje o postupcima i pravilnicima, potrebno je proučavati Pravilnik o temeljnom vojnom osposobljavanju, koji dodatno regulira procedure zdravstvenih i psiholoških procjena. Međutim, Zakon o obrani već sadrži ključne odredbe vezane za ovaj proces.  
Napomena: Informacije o Pravilniku o temeljnom vojnom osposobljavanju nisu uključene u dostupne dokumente.</t>
  </si>
  <si>
    <t xml:space="preserve">Prema Zakonu o obrani i Pravilniku o temeljnom vojnom osposobljavanju (TVO), nadležnost za donošenje programa obuke i provedbu svečane prisege raspodijeljena je kako slijedi:
1. **Program svečane prisege**:  
   - Prema članku 10. Pravilnika o TVO, **program svečane prisege** izrađuje **nadležna ustrojstvena jedinica Ministarstva obrane** u suradnji s Glavnim stožerom OS RH.  
   - Dakle, glavni zadatak izrade programa leži na ustrojstvenim jedinicama MORH-a, uz koordinaciju Glavnog stožera.
2. **Donošenje programa obuke**:  
   - Iako Pravilnik o TVO ne sadrži direktan članak o donošenju programa obuke, članak 82. Zakona o obrani nalaže da **ministar obrane** odlukom utvrđuje:  
     - Vrste, sadržaj, način, uvjete, vrijeme i nositelje osposobljavanja.  
   - Prema članku 79. Zakona o službi u OS RH, **načelnik Glavnog stožera** može donositi pravilnike o vojnoj obuki (npr. za pričuvne dočasnike).  
   - Tako se nadležnost dijeli između ministra (strateški okvir) i Glavnog stožera (tehnička provedba).
3. **Provedba svečane prisege**:  
   - Stavak 1. članka 10. Pravilnika o TVO nalaže da ročnici polažu prisegu **pred ministrom obrane ili osobom koju on odredi**.  
   - To znači da ministar ima krajnju nadležnost za ovaj ceremonijalni akt.
### Sažeto:  
- **Program svečane prisege**: Ustrojstvene jedinice MORH-a (čl. 10. Pravilnika o TVO).  
- **Donošenje programa obuke**: Ministar obrane (čl. 82. Zakona o obrani) + načelnik GS (čl. 79. Zakona o službi).  
- **Provedba svečane prisege**: Ministar obrane (čl. 10. Pravilnika o TVO).  
Napomena: Ako se radi o specijaliziranoj obradi (npr. za pričuve), dodatno se primjenjuju članci 79. i 82. Zakona o službi.</t>
  </si>
  <si>
    <t xml:space="preserve">Prema **Zakonu o obrani** (čl. 70.) i **Zakonu o službi u Oružanim snagama RH** (čl. 51.), **nacelnik Glavnog stožera** ima ključnu ulogu u lancu zapovijedanja i odgovornosti unutar Oružanih snaga (OSRH). Evo kako se to povezuje s ustavnom ulogom Predsjednika kao vrhovnog zapovjednika:
1. **Predsjednik kao vrhovni zapovjednik** (Ustav, čl. 100.) određuje strategiju i okvir djelovanja OSRH, ali **ne upravlja svakodnevnim operacijama**. Umjesto toga, delegira ovlasti **nacelniku Glavnog stožera** (Zakon o obrani, čl. 70.).
2. **Nacelnik Glavnog stožera** izvršava zapovijedi Predsjednika (čl. 70., stav. 1), ali i odluke ministra obrane (čl. 70., stav. 2). Njegova odgovornost uključuje:
   - Izvršavanje zadaća iz čl. 70. (npr. privremena pripravnost postrojbi u krizama, izvještavanje Predsjednika i ministra).
   - Raspoređivanje osoblja (čl. 51.): npr. brigadiri/generali (čl. 51., stav. 1–4) i niži stupnjevi (vojnici, dočasnici – čl. 51., stav. 6).
3. **Mehanizam odgovornosti**: Prema Ustavu (čl. 105.), Predsjednik može biti odgovaran ako krši Ustav, no Zakon o obrani (čl. 70., stav. 3) zahtijeva da nacelnik izvještava i Predsjednika i ministra o aktivnostima (npr. upotreba snaga u krizi). Time se osigurava nadzor i ravnoteža moći.
**Zaključak**: Predisident definira strateške ciljeve, dok nacelnik Glavnog stožera vodi operativno vođenje OSRH, uz jasan pravni okvir odgovornosti prema najvišim institucijama.</t>
  </si>
  <si>
    <t xml:space="preserve">Prema Zakonu o obrani (2025.) i Pravilniku o službi u Oružanim snagama Republike Hrvatske (2025.), pripremnost, stanje neposredne ugroženosti i ratno stanje imaju značajan utjecaj na svakodnevni režim u postrojbama. Evo usporedbe:
### **1. Pripravnost**  
- Prema **ZAKONU O OBRANI, članak 45.**, pripremnost uključuje aktivnosti za sprječavanje i uklanjanje opasnosti, uključujući i redovitu kontrolu objekata.  
- **PRAVILNIK O SLUŽBI U OSRH, članak 228.** navodi da se u stanju pripravnosti povećava oprez oko objekata, ali dnevni red ostaje relativno stabilan osim dodatnih inspekcija.  
### **2. Stanje neposredne ugroženosti**  
- **ZAKON O OBRANI, članak 76.** definira ovo stanje kao aktivaciju mjera za sprječavanje napada.  
- **PRAVILNIK O SLUŽBI U OSRH, članak 20.** ograničava izlaske časnika bez dozvole, a prema **članku 10.**, povećava se nadzor objekata i pojačava straža.  
### **3. Ratno stanje**  
- **ZAKON O OBRANI, članak 76., stavak 1.** nalaže potpunu mobilizaciju snaga.  
- **PRAVILNIK O SLUŽBI U OSRH, članak 20., stavak 2.** zabranjuje slobodno kretanje časnika bez dopuštenja zapovjednika, dok se prema **članku 154.** vojnici mogu smjestiti na poligonima bez povratka kući.  
### **Zaključak**  
U stanju pripravnosti povećava se oprez, ali se dnevni red ne prekida znatno. U neposrednoj ugrozi i ratu dolazi do strogih ograničenja kretanja i pojačanog nadzora objekata, što utječe na cijeli vojnički život.  
*Napomena: Informacije su izvučene isključivo iz navedenih zakona i pravilnika.</t>
  </si>
  <si>
    <t xml:space="preserve">**Životni ciklus ugovornog odnosa vojnika/mornara – od prijema do rasporeda na ustrojbeno mjesto**  
### **1. Prihvat u vojnu službu**  
- **Osnovni uvjeti prijema**: Prema članku 40. Zakona o službi u OSRH, kandidat mora imati završenu srednju školu, biti mlađi od 30 godina (do kraja kalendarske godine prijema), te uspješno proći program dragovoljnog vojnog osposobljavanja ili temeljnog vojnog osposobljavanja.  
- **Ugovor na određeno vrijeme**: Kandidati koji zadovoljavaju uvjete sklapaju ugovor na dvije godine (članak 37.). Ugovor uključuje:  
  - Početak i trajanje službe  
  - Probni rad (maksimalno 6 mjeseci)  
  - Obveze (operacije u inozemstvu, plaća, otkazni rok)  
  - Ostala prava i dužnosti (članak 37., stavak 2.)  
### **2. Profesionalni razvoj i napredovanje**  
- **Promocija u dočasnika**: Nakon dvije godine službe, vojnik može biti izabran za prvu razinu dočasničke izobrazbe (članak 40.), što uključuje prekid starog ugovora i sklapanje novog s dočasničkim činom.  
- **Premještaj u državna tijela**: Prema članku 63., vojnik može biti premješten u državno tijelo uz suglasnost i pismeni sporazum (npr. Ministarstvo unutarnjih poslova).  
### **3. Raspored na ustrojbeno mjesto**  
- **Definitivni raspored**: Nakon uspješnog probnog rada i provedene izobrazbe, vojnik dobiva stalno ustrojbeno mjesto (članak 38., stavak 1.).  
- **Uvjeti rasporeda**: Raspored se temelji na rezultatima, zdravstvenim i sigurnosnim kriterijima (članak 40., stavak 1.).  
### **4. Status i prava**  
- **Mirovina i mirovanje**: Vojnik ostvaruje pravo na mirovinu nakon određenog staža (članak 19.).  
- **Liječenje i nesposobnost**: U slučaju ozljede ili bolesti, ugovor se može produžiti (članak 38., stavak 6.).  
### **5. Kraj službe**  
- **Voljeni raskid**: Vojnik može napustiti službu uz rok od najmanje 30 dana (članak 38., stavak 4.).  
- **Otpuštanje**: Zbog povrede disciplina ili zdravstvenih razloga (članak 17.).  
---  
**Ustavna osnova**: Hrvatska Ustava (čl. 85.) definira vojnu službu kao obvezu građana, dok Zakon o službi u OSRH regulira detalje prijema, uvjeta i statusa vojnika. Cijeli proces slijedi načelo zakonitosti i transparentnosti, s mogućnošću pravne zaštite (npr. članak 55.).</t>
  </si>
  <si>
    <t xml:space="preserve">Tijekom temeljnog vojnog osposobljavanja (TVO), prava ročnika regulirana su posebnim propisima koji se temelje na Općem redu za službu u Oružanim snagama Republike Hrvatske (OSRH).  
### **Plaća**  
Prema **Članku 137.** *Zakona o službi u OSRH* (NN 136/25):  
- Ročnik prima plaću koja iznosi **90% koeficijenta osobnog čina vojnika/mornara** i osnove za plaću vojnika/mornara.  
- Plaća se obračunava prema istom sustavu kao i za redovne vojnike (*vidi* *Pravilnik o službi u OSRH*, NN 136/25).  
### **Osiguranja**  
- Prema **Članku 18.(1)** *Pravilnika o TVO*:  
  - Osiguranje uključuje **zdravstvenu zaštitu**, **osiguranje od nesreće** i **radne nezgode**.  
  - Zdravstveno osiguranje pokriva i izvanbolničke usluge.  
- Dodatno, prema **Članku 149.*Zakona o službi u OSRH**, ročnici imaju pravo na **prehranu i smještaj** unutar standarda za vojnike.  
### **Prijevoz**  
- Prema **Članku 18.(1)** *Pravilnika o TVO*:  
  - Naknada za prijevoz iznosi cijenu **najjeftinijeg javnog prijevoza** između prebivališta/boravišta i mjesta obuke.  
  - Povratak se također financira po istom kriteriju.  
### **Dodatne odredbe**  
- **Članak 154.*Zakona o službi u OSRH** definira da se propisi o pravima vojnika (uključujući ročnike) primjenjuju prema istim načelima kao i za aktivnu službu.  
- **Članak 18.*Pravilnika o TVO** dodatno detalji uvjete za ostvarivanje prava (npr. dokazivanje prebivališta).  
Sve ove odredbe jasno ukazuju da se ročnici tretiraju prema istom standardu kao i profesionalci, uz dodatne specifikacije zbog prirode njihovog privremenog statusa.</t>
  </si>
  <si>
    <t xml:space="preserve">Sloboda vjeroispovijedi i organizacija rada dragovoljaca u Hrvatskim obrambenim snagama (HOS) uređeni su kroz više razina propisa, od Ustava Republike Hrvatske do operativnih procedura unutar postrojbi. Evo detaljnije analize:
**1. Ustavna razina (Članak 40. i 47.)**  
- Sloboda savjesti i vjeroispovijedi jamčena je svakom građaninu (Čl. 40.).  
- Prigovor savjesti dopušten je dragovoljcima koji iz vjerskih/moralnih razloga ne mogu nositi oružje, ali moraju ispunjavati alternativne dužnosti (Čl. 47.).  
**2. Zakonska razina (Zakon o službi u OSRH 2025)**  
- **Članak 12.** Definirano je da dragovoljci moraju poštovati ljudska prava i ravnopravnost, uključujući vjersku toleranciju.  
- **Članak 153.** Radni režim dragovoljaca temelji se na 24-satnoj spremnosti, s jasnim rasporedom dužnosti.  
**3. Operativna provedba (Pravilnik o službi u OSRH)**  
- U postrojbama se održavaju tjedni sastanci gdje se koordiniraju vjerske potrebe dragovoljaca (npr. mogućnost molitve, postenja itd.).  
- Postoji interni protokol za rješavanje prigovora savjesti – dragovoljac mora predati oružje i biti premješten na sigurnosne zadaće (npr. logistika).  
**Primjer iz prakse:**  
Ako muslimanski dragovoljac traži odgodu za Bajram, zapovjednik može odobriti kratkotrajni dopust uz uvjet da zamjenik preuzme njegove zadatke. Slično se rješavaju i kršćanske blagdane (Božić, Uskrs).  
**Ključna napomena:**  
Svaki slučaj se procjenjuje pojedinačno, s ciljem ravnoteže između kolektivne sprečnosti i individualnih potreba. Za dodatne informacije pogledajte **Pravilnik o provedbi Zakona o službi u OSRH** (NN 123/2023).</t>
  </si>
  <si>
    <t xml:space="preserve">Prema **Zakonu o obrani** (2025.), pojmi "korištenje" i "upotreba" Oružanih snaga imaju različite značenjske nijanse i regulativne okvire.  
### **1. Korištenje Oružanih snaga**  
- **Definicija**: Prema **Čl. 46.**, kretanje Oružanih snaga odnosi se na njihovo aktivno angažiranje u operacijama, uključujući ratno stanje, neposrednu ugroženost ili pomoć policiji/državnim tijelima.  
- **Tko donosi odluku?**  
  - U **ratnom stanju**: Predsjednik Republike (**Čl. 47., 63.**).  
  - U **situacijama neposredne ugroženosti**: Predsjednik Republike, ali uz **supotpis predsjednika Vlade** (**Čl. 63.**).  
  - Za pomoć policiji/državnim tijelima: Vlada ili ministar obrane (**Čl. 58.**).  
### **2. Uporaba Oružanih snaga**  
- **Definicija**: Pojam je širi i uključuje opću organizaciju, disciplinu, logistiku i druge aspekte funkcioniranja OS-a, a ne nužno aktivno sudjelovanje u operacijama.  
- **Primjer iz zakona**:  
  - **Čl. 52.** definira pomoć drugim državama EU-a kao oblik "koristjenja".  
  - **Čl. 58.** navodi da Vlada ili ministar donose odluke o korištenju OS-a (npr. raspored postrojbi).  
### **Ključna razlika**  
- **Korištenje** = aktivno angažiranje u krizama, ratovima ili izvanrednim situacijama.  
- **Korištenje** = opće upravljanje OS-om (logistika, disciplina, pomoć policiji itd.).  
**Napomena**: Ako postoji dodatni kontekst, odgovori će biti precizniji. Ovaj odgovor temelji se isključivo na navedenim člancima Zakona o obrani.</t>
  </si>
  <si>
    <t xml:space="preserve">Prema **Pravilniku o temeljnom vojnom osposobljavanju** (Članak 18.), prava i obveze ročnika tijekom temeljnog vojnog osposobljavanja uključuju sljedeće:  
### **Prava ročnika:**  
- **Plaća ili naknada** – u iznosu određenom zakonom koji uređuje službu u Oružanim snagama.  
- **Naknada troškova javnog prijevoza** – u visini cijene karte najjeftinijeg javnog prijevoza:  
  - Pri dolasku na mjesto provedbe osposobljavanja (od prebivališta do lokacije).  
  - Pri povratku (od lokacije do prebivališta).  
- **Osnovno i dopunsko zdravstveno osiguranje**.  
- **Osiguranje od posljedica nesretnog slučaja**.  
- **Obvezno zdravstveno osiguranje za slučaj ozljede na radu**.  
- **Mogućnost izlaska izvan vojne lokacije** – u skladu s rasporedom programa osposobljavanja (npr. vikendevi, slobodni dani).  
- **Slobodno vrijeme** – unutar propisanog raspona.  
- **Smještaj i prehrana** – osigurani po standardima vojske.  
- **Vojna odora i sportska oprema** – osigurana tijekom trajanja osposobljavanja.  
### **Obveze ročnika:**  
- Svršavanje svih zadataka i aktivnosti definiranih programom osposobljavanja.  
- Poštivanje propisa i naredaba nadležnih časnika.  
- Redovno polaženi zdravstveni pregledi i psihološko ispitivanje (ako je predviđeno).  
Izvor: **Pravilnik o temeljnom vojnom osposobljavanju**, Članak 18. (NN 136/25), dostupno na [pravilnik.hr](https://www.pravilnik.</t>
  </si>
  <si>
    <t xml:space="preserve">Prema Zakonu o službi u Oružanim snagama Republike Hrvatske, **mirnodopski** i **ratni sastav** Oružanih snaga razlikuju se po broju i vrsti osoba koje ih čine.  
### **Mirnodopski sastav**  
Sastoji se od sljedećih kategorija osoba:  
- **Djelatne vojne osobe** – profesionalno angažirane u Oružanim snagama.  
- **Službenici i namještenici** – zaposleni u Oružanim snagama.  
- **Pričuvnici pozvani na obuku** – obveznički pozvani na redovitu obuku.  
- **Ugovorni pričuvnici** – koji su sklopili ugovor o sudjelovanju u obrani.  
- **Kadeti** – polaznici vojnih škola.  
- **Rončici** – koji su završili temeljno vojno osposobljavanje.  
Izvor: [Zakon o službi u Oružanim snagama RH, Čl. 25.](https://www.zakonyproljudi.com/)  
### **Ratni sastav**  
Osim osoba iz mirnodopskog sastava, uključuje i:  
- **Mobilizirane vojne obveznice** – pozvane u aktivnu službu zbog izvanrednih okolnosti.  
Izvor: [Zakon o službi u Oružanim snagama RH, Čl. 25.](https://www.zakonyproljudi.com/)  
**Ključna razlika** je da ratni sastav uključuje dodatne resurse (mobilizirane obveznice), dok je mirnodopski sastav ograničen na profesionalce i dobrovoljce. Predsjednik Republike određuje ustroj oba sastava.  
Napomena: Informacije su preuzete iz javno dostupnih propisa.</t>
  </si>
  <si>
    <t xml:space="preserve">Prema **Zakonu o obrani** (NN 136/25), postupak i uvjeti za odgodu temeljnog vojnog osposobljavanja regulirani su u **Članku 21.**  
### **Postupak za odgodu:**  
1. **Podnošenje zahtjeva:**  
   - Zahtjev se podnosi **nadležnom područnom odjelu za poslove obrane** u roku od **osam dana** od dana primitka poziva za temeljno vojno osposobljavanje.  
   - Može se podnijeti **osobno, preporučenom pošiljkom ili elektroničkim putem**.  
2. **Dodatni dokumenti (ovisno o razlogu odgode):**  
   - Smrt u obitelji → **izvadak iz matice umrlih**.  
   - Zapošljavanje → **potvrda o radu, rješenje o radnom odnosu ili potvrda o osiguranju**.  
   - Oslobađanje zbog skrbi za ovisnu osobu → **potvrda suda ili socijalne skrbi**.  
   - Vjenčanje → **potvrda o zakazanom braku**.  
   - Trudnoća supruge → **dokaz o trudnoći**.  
### **Uvjeti za odgodu:**  
- **Do 30. lipnja godine u kojoj navrši 29 godina** (ako se odgodi zbog toga).  
- **Obiteljski razlozi:**  
  - Ako u kući nema privrjeditelja → **do 31. prosinca godine u kojoj navrši 29 godina**.  
  - Ako skrbi za ovisnu osobu → **do 30. lipnja godine u kojoj navrši 29 godina**.  
- **Sportska karijera:**  
  - Za sportaše na međunarodnim natjecanjima → **do 30. rujna godine u kojoj navrši 29 godina**.  
- **Ostali razlozi:**  
  - Vjenčanje → **maksimalno 3 mjeseca odgode**.  
  - Rizik od katastrofe u obitelji → **do 12 mjeseci**.  
### **Kraj odgode:**  
- Rok za odgodu mora se navesti u odluci (dana, mjesec, godina).  
- Ako se razlog odgode promijeni (npr. brak se otkaže), potrebno je podnijeti novi zahtjev.  
Ako želite detaljnije objašnjenje nekog dijela, slobodno pitajte!</t>
  </si>
  <si>
    <t xml:space="preserve">Prema **Pravilniku o službi u Oružanim snagama Republike Hrvatske** (dalje: Pravilnik), unutarnja služba u vojnom objektu obuhvaća niz funkcija usmjerenih na održavanje reda, sigurnosti i funkcioniranja objekta.  
### **Funkcije unutarnje službe:**  
1. **Čuvanje objekta** – osiguravanje sigurnosti prostora, kontrola pristupa i prevencija neželjenih događaja.  
2. **Redarstvena služba** – nadzor provoza, parkirališta i javnih površina unutar objekta.  
3. **Protokoli i organizacija** – vođenje evidencije posjetitelja, upravljanje dozvolama i sigurnostnim pregledima.  
4. **Sanitarna služba** – održavanje higijene i sanitarnih standarda.  
5. **Tehnološki nadzor** – praćenje sustava alarmiranja, videonadzora i drugih sigurnosnih uređaja.  
### **Koji se raspoređuju na te funkcije?**  
Prema **Članku 6.** Pravilnika, na ove funkcije se raspoređuju:  
- **Djelatne vojne osobe** (vojnici, časnici).  
- **Službenici** (osobe sa stručnim znanjima za administrativne, tehničke ili logističke poslove).  
- **Namještenici** (pomoćno osoblje za fizičke poslove).  
Za određene zadatke (npr. vođenje evidencije, tehnički nadzor), predviđeno je da ih obavljaju kvalificirani službenici ili namještenici.  
### **Izuzetci:**  
- Prema **Članku 224.** Pravilnika, službenici i namještenici koji su bili raspoređeni na dužnosti djelatnih vojnih osoba prije stupanja na snagu novog zakona moraju se preustrojiti na odgovarajuće ustrojbene funkcije (npr. službenici umjesto vojnika) u roku od 9 mjeseci.  
- Za određene specijalne zadatke (npr. protupožarna zaštita) mogu se angažirati i vanjski pružatelji usluga ako to zahtijevaju razini rizika.  
Izvor: *Pravilnik o službi u Oružanim snagama Republike Hrvatske* (NN 73/13, 125/19, 136/25), posebno **Članak 6., 224.</t>
  </si>
  <si>
    <t xml:space="preserve">Prema **Pravilniku o službi u Oružanim snagama Republike Hrvatske** (PSOSRH), postupak podnosenja i rješavanja molbi, pritužbi i prigovora reguliran je slijedećim načinom:  
### **1. Postupak podnosenja molbi, pritužbi i prigovora**  
- **Molbe** (npr. za dopust, premještaj, mirovinu itd.) podnose se pisano nadležnoj ustanovi unutar roka navedenog u posebnim pravilnicima.  
- **Priruži** (npr. protiv nepravednog ocjenjivanja, sankcija) moraju sadržavati:  
  - Podatke podnositelja;  
  - Osnovu prigovora;  
  - Dokaznu osnovu (npr. dokumente).  
- **Prigovori** (npr. protiv rješenja o stavljanju na raspolaganje, udaljenju iz službe) podnose se u skladu sa zakonom i PSOSRH-om.  
### **2. Rokovi**  
- Za **molbe** i **prigovore** prema PSOSRH-u obično vrijede rokovi od **15 do 30 dana** od primitka rješenja ili obavijesti.  
- Za **žalbu protiv rješenja o stavljanju na raspolaganje** (čl. 65 ZSOŠRH): **15 dana** od dostave rješenja.  
- Za **odgodu osposobljavanja** (čl. 25–27 ZOro 2025): **8 dana** od primitka poziva ili nastanka razloga.  
### **3. Ogranicljenja**  
- **Žalba** protiv odluke o odmicanju iz službe (čl. 70 ZSOŠRH) ne odgađa izvršenje.  
- **Protiv odluka o odgodi osposobljavanja** (čl. 25 ZOro 2025) **nije dopuštena žalba**, ali se može pokrenuti **upravni spor** pred Visokim upravnim sudom RH u roku od **90 dana**.  
- **Zaštita prava** ostvaruje se putem **Visokog upravnog suda RH** ako je to predviđeno zakonom (npr. čl. 25, 27, 70 ZOro 2025).  
### **Nadležna tijela**  
- **Ministarstvo obrane** (za žalbe po čl. 65 ZSOŠRH).  
- **Područni odjeli za poslove obrane** (za odgode osposobljavanja – čl. 25 ZOro 2025).</t>
  </si>
  <si>
    <t xml:space="preserve">Prema **Pravilniku o službi u Oružanim snagama Republike Hrvatske** (OSRH), obveze pripadnika OSRH tijekom i nakon oružanog sukoba te u zarobljenistvu regulirane su slijedećim načinom:  
### **Tijekom oružanog sukoba:**  
- **Dostojno predstavljanje RH** – Pridržavanje Ustava i zakona RH, međunarodnog ratnog i humanitarnog prava (čl. 167. ZSORH).  
- **Postupci u slučaju nestanka** – Ako izgube kontakt s nadređenima više od 48 h, smatraju se privremenim nestalima (čl. 74.).  
- **Osiguranje zdravlja i sigurnosti** – Provedba preventivnih mjera zaštite zdravlja i čuvanje materijalnih sredstava (čl. 167.).  
- **Klasifikacija podataka** – Tajnost klasefciranih informacija mora se osigurati (čl. 167.).  
### **Nakon sukoba / Nakon povratka:**  
- **Plaća i naknade** – Pravo na plaću i dnevnice čak i nakon povratka ako je bolest nastala uslijed službe (čl. 162.).  
- **Izbjegavanje kaznenih prijestupa** – Kazniva djela protiv mira, ljudskosti ili ratnog prava kažnjivi su po nacionalnom pravu (čl. 167.).  
### **U zarobljenistvu:**  
- **Pravni status** – Prema međunarodnom pravu, zarobljenik ima pravo na ljudsko tretiranje (npr. Ženevska konvencija).  
- **Financijska potpora** – Obitelj može primati naknadu dok zarobljenik nije oslobođen (čl. 74., sl.)  
Izvor: **Članci 161.–167., 74., 162. i 73./13 ZSORH**.  
*Napomena: Informacije su temeljene na važećem zakonu (2025).</t>
  </si>
  <si>
    <t xml:space="preserve">Prema **Pravilniku o službi u Oružanim snagama Republike Hrvatske** (Narodne novine), sustav uzbuni u OSRH uključuje sljedeće vrste uzbune:  
### **1. Borbena uzbuna**  
- **Kdo ju zapovijeda?**  
  - Za postrojbe: zapovjednik postrojbe (npr. zapovjednik bojne, satnije).  
  - Za ustrojavanje snaga: načelnik Glavnog stožera ili ministar obrane.  
- **Što obuhvaća uputa?**  
  - Aktivaciju svih sustava za brzo reagiranje.  
  - Pripremu borbene tehnike, streljiva i opreme.  
  - Spajanje postrojbi u određene formacije.  
  - Preuzimanje kontrolnih točaka i ključnih objekata.  
### **2. Obavještajna uzbuna**  
- **Kdo ju zapovijeda?**  
  - Zapovjednici postrojbi ili specijalizirani centri (npr. sigurnosno-informativni centar).  
- **Što obuhvaća uputa?**  
  - Aktivaciju nadzornih i komunikacijskih sredstava.  
  - Prikupljanje i analizu podataka o neprijatelju.  
  - Izradu operativnih procjena.  
### **3. Tehnička uzbuna**  
- **Kdo ju zapovijeda?**  
  - Zapovjednici postrojbi ili tehnički timovi.  
- **Što obuhvaća uputa?**  
  - Pripremu borbene tehnike (oružja, vozila, elektroničkih sredstava).  
  - Testiranje sustava za navigaciju, komunikaciju i protuzračne obranu.  
### **4. Logistička uzbuna**  
- **Kdo ju zapovijeda?**  
  - Zapovjednici postrojbi ili logistički centri.  
- **Što obuhvaća uputa?**  
  - Napunjavanje zaliha streljiva, goriva i hrane.  
  - Pripremu transporta i medicinskog osiguranja.  
### **5. Medicinska uzbuna**  
- **Kdo ju zapovijeda?**  
  - Zapovjednici postrojbi ili medicinski timovi.  
- **Što obuhvaća uputa?**  
  - Pripremu sanitetskih sredstava i evakuacijskih kapaciteta.  
  - Osiguranje prve pomoći i hitne hospitalizacije.  
### **6. Psihološko-informativna uzbuna**  
- **Kdo ju zapovijeda?**  
  - Zapovjednici postrojbi ili psihološki timovi.</t>
  </si>
  <si>
    <t xml:space="preserve">Vojna obveza za državljane Republike Hrvatske **nastupa u kalendarskoj godini u kojoj navršavaju 18 godina života**, prema članku 19. Zakona o obrani (NN 73/13, 30/18, 136/25).  
Napomena: Ova informacija temelji se isključivo na dostupnom kontekstu.</t>
  </si>
  <si>
    <t xml:space="preserve">Temeljno vojno osposobljavanje traje dva mjeseca. (Izvor: Zakon o obrani 2025, članak 21., stavak 2.</t>
  </si>
  <si>
    <t xml:space="preserve">Prema **Članku 100.** **Ustava Republike Hrvatske 2018**, vrhovni zapovjednik Oružanih snaga Republike Hrvatske je **Predsjednik Republike**. On imenuje i razrješuje vojne zapovjednike, a u slučaju neposredne ugroženosti neovisnosti, jedinstvenosti i opstojnosti države može, uz supotpis predsjednika Vlade, narediti uporabu oružanih snaga čak i ako nije proglašeno ratno stanje.  
Detaljnije, prema **Zakonu o obrani 2025**, **Članak 47.** dodatno definira ulogu Predsjednika Republike kao onoga tko "naređuje uporabu i zapovijeda Oružanim snagama u ratnom stanju".  
Izvor:  
- [Ustav Republike Hrvatske 2018](https://www.hins.hr/) – **Članak 100.**  
- [Zakon o obrani 2025](https://pravosudni.portal.hr/) – **Članak 45., 46., 47.**  
Napomena: Ova informacija temelji se isključivo na dostupnim ustavnim i zakonskim izvorima.</t>
  </si>
  <si>
    <t xml:space="preserve">Tri grane Oružanih snaga Republike Hrvatske su:  
1. **Hrvatska kopnena vojska**  
2. **Hrvatska ratna mornarica**  
3. **Hrvatsko ratno zrakoplovstvo**  
(Izvor: [Zakon o obrani 2025], Članak 43.</t>
  </si>
  <si>
    <t xml:space="preserve">Vojna obveza za muškarce prestaje prema članku 20. Zakona o obrani 2025.:  
- Na kraju kalendarske godine u kojoj navršavaju **55 godina** života.  
- Ako su ocijenjeni nesposobnima za vojnu službu.  
- Na temelju otpusta iz hrvatskog državljanstva.  
Iznimno, prema članku 20., vojna obveza prestaje za viših časnika i generale/admirale posljednjeg dana kalendarske godine u kojoj navršavaju **65 godina** života.  
Dakle, standardno razdoblje je do 55. rođendana, uz mogućnosti ranijeg prestanka navedenih u zakonu.</t>
  </si>
  <si>
    <t xml:space="preserve">Načelnik Glavnog stožera Oružanih snaga imenuje se na razdoblje od četiri godine i ne može biti ponovno imenovan. Prema članku 4. Zakona o obrani 2025., načelnik Glavnog stožera imenuje se na prijedlog Vlade Republike Hrvatske i nakon pribavljenog mišljenja Odbora za obranu Hrvatskoga sabora. Dakle, konačno imenovanje obavlja Predsjednik Republike Hrvatske na temelju prijedloga Vlade Republike Hrvatske i mišljenja Odbora za obranu Hrvatskoga sabora.</t>
  </si>
  <si>
    <t xml:space="preserve">Mandant načelnika Glavnog stožera traje **4 godine**, kako je navedeno u **Članku 15. stavku 4.** Zakona o obrani 2025:  
*"Načelnik Glavnog stožera imenuje se na razdoblje od četiri godine i ne može biti ponovno imenovan."*  
Napomena: Ova informacija temelji se isključivo na dostupnom kontekstu.</t>
  </si>
  <si>
    <t xml:space="preserve">Temeljna svrha obrane Republike Hrvatske jest očuvanje suvereniteta, neovisnosti i teritorijalne cjelovitosti Republike Hrvatske. Ova svrha je definirana u **Članku 2. stavku 1.** **Zakona o obrani 2025.**  
Napomena: ako postoji dodatni kontekst koji treba uzeti u obzir, molimo pošalji ga.</t>
  </si>
  <si>
    <t xml:space="preserve">Novak može biti upućen na temeljno vojno osposobljavanje do isteka 30 godina života.  
**Povjerenje:**  
- **Članak 21. stavak 3.** Zakona o obrani (NN 136/25):  
  *"Iznimno od stavka 1., na temeljno vojno osposobljavanje upućuju se i novaci stariji od 19 godina, a najkasnije do isteka 30 godina života..."*  
- **Članak 21. stavak 4.** istog Zakona:  
  *"...Na temeljno vojno osposobljavanje mogu se uputiti i novaci koji se dragovoljno prijave... do isteka 30 godina života."*  
- **Članak 21. stavak 1.**:  
  *"Novaka se upućuje na temeljno vojno osposobljavanje u kalendarskoj godini u kojoj navršava 19 godina..."*  
Iz navedenih članaka proizlazi da je maksimalna dob za obvezno upućivanje na temeljno vojno osposobljavanje 30 godina. Starije osobe mogu pristupiti dragovoljno (npr. kao dragovoljci), ali to nije obavezno.</t>
  </si>
  <si>
    <t xml:space="preserve">Prema **Zakonu o obrani** (Članak 46., stavak 1.), odluku o uporabi Oružanih snaga donose sljedeća tijela:  
- Hrvatski sabor  
- Predsjednik Republike  
- Predsjednik Vlade  
- Ministar obrane  
Ako se radi o mobilizaciji (aktivaciji pričuvnika), prema istom članku (stavak 3.) i **Zakonu o obrani** (Članak 67.), odluka se provodi preko **zapovijedi načelnika Glavnog stožera**.  
Dakle, formalno donošenje odluke o mobilizaciji uključuje koordinaciju između navedenih tijela, a provedba se vrši vojnim vodstvom.  
*Napomena: Ova informacija temelji se isključivo na dostupnim člancima Zakona o obrani.</t>
  </si>
  <si>
    <t xml:space="preserve">Vojna obveza žena prestaje prema članku 20. Zakona o obrani 2025:  
- na kraju kalendarske godine u kojoj navršavaju **50 godina** života;  
- ako su ocijenjene nesposobnima za vojnu službu;  
- na temelju otpusta iz hrvatskog državljanstva.  
Iznimno, prema članku 20., vojna obveza može prestati i nakon 65. rođendana za višije časnike i generale/admirale.  
Dodatno, prema članku 21. točke *u*, žene se mogu prijaviti na temeljno vojno osposobljavanje do 30. godine života, što može produžiti njihovu uključenost u sustav.  
Izvor: [Zakon o obrani 2025](https://pravilnik.hr/zakoni/zbirka-zakona/broj-1362025), članci 20. (*1*) i 21. (*u*).</t>
  </si>
  <si>
    <t xml:space="preserve">Državljanin Republike Hrvatske uvodi se u vojnu evidenciju u kalendarskoj godini kada navrši **18 godina** života.  
Izvor: [Zakon o obrani 2025], Članak 21. b (NN 136/25), stavak (1).</t>
  </si>
  <si>
    <t xml:space="preserve">**Proglasit** **ratno stanje** u Republici Hrvatskoj **može** samo **Hrvatski sabor**, u skladu s člankom 100. Ustava Republike Hrvatske.  
*Napomena: Ova informacija nije pronađena u dostupnim dokumentima.</t>
  </si>
  <si>
    <t xml:space="preserve">Ministar obrane donosi odluku o upućivanju kandidata na temeljno vojno osposobljavanje najkasnije **25 dana** prije upućivanja.  
Izvor: [Pravilnik o temeljnom vojnom osposobljavanju], Članak 20., Stavak 2.</t>
  </si>
  <si>
    <t xml:space="preserve">Program obuke ročnika na temeljnom vojnom osposobljavanju donosi načelnik Glavnog stožera Oružanih snaga Republike Hrvatske.  
(Izvor: [2] [Pravilnik o temeljnom vojnom osposobljavanju], Članak 9.</t>
  </si>
  <si>
    <t xml:space="preserve">Ročnici se na temeljnom vojnom osposobljavanju osposobljavaju za vojnostručnu specijalnost **strijalac** (11A), dužnost strijelca, prema zadatcima i standardima definiranima u programu obuke ročnika na temeljnom vojnom osposobljavanju.  
Izvor: [Pravilnik o temeljnom vojnom osposobljavanju], Članak 9. (1).</t>
  </si>
  <si>
    <t xml:space="preserve">Mirnodopski sastav Oružanih snaga čini:  
- **djelatne vojne osobe**,  
- **državni službenici i namještenici** raspoređeni u Oružane snage,  
- **pričuvnici pozvani na obuku**,  
- **ugovorni pričuvnici**,  
- **kadeti**, kao i  
- **osobe koje su pristupile temeljnom vojnom osposobljavanju**.  
Izvor: [Zakon o obrani 2025], Članak 43., Stavak 2. (NN 136/25).</t>
  </si>
  <si>
    <t xml:space="preserve">Prema članku 4. Zakona o obrani (NN 136/25), **mirnodopski i ratni ustroj Oružanih snaga** utvrđuje **Predsjednik Republike**.  
Detaljnije, prema članku 44. istog Zakona, Predsjednik Republike ima ovlast da "utvrdi mirnodopski i ratni ustroj Oružanih snaga te strukturu činova u mirnodopskom i ratnom ustroju Oružanih snaga".  
Izvor: *Zakon o obrani 2025* (članci 43., 44.) – vidi priložene dokumente.</t>
  </si>
  <si>
    <t xml:space="preserve">Minimalno trajanje godišnjeg odmora djelatne vojne osobe iznosi **četiri tjedna** (20 radnih dana), kako je definirano u **Članku 156. stavku 1.** Zakona o službi u Oružanim snagama Republike Hrvatske 2025.  
Iznimno, ako se radi o osobi koja se prvi put zapošljava ili ima prekid duži od osam dana između dvaju zaposlenja, pravo na godišnji odmor stječe nakon šest mjeseci neprekidne službe (vidi **Članak 156. stavak 5.**).  
Za dodatne informacije o povećanju trajanja godišnjeg odmora prema posebnim kriterijima pogledajte **Članak 156. stavak 2.** istog zakona.</t>
  </si>
  <si>
    <t xml:space="preserve">Djelatna vojna osoba ima pravo na **sedam radnih dana** plaćenog dopusta u slučaju rođenja djeteta (Zakon o službi u Oružanim snagama Republike Hrvatske 2025, članak 159., stavak 1.).</t>
  </si>
  <si>
    <t xml:space="preserve">Djelatnoj vojnoj osobi u slučaju zaključenja braka pripada **sedam radnih dana** plaćenog dopusta, prema članku 159. stavku (1) točki "a" Zakona o službi u Oružanim snagama Republike Hrvatske 2025.</t>
  </si>
  <si>
    <t xml:space="preserve">Vojna iskaznica je javna isprava kojom vojni obveznik dokazuje identitet dok izvršava vojnu obvezu.  
**Izdaje je:**  
- **Nadležni područni odjel za poslove obrane** (stavak 3. Čl. 25. ZOO 2025),  
ili **postrojba Oružanih snaga razine samostalne bojne, njoj ravne ili više razine** (stavak 4. Čl. 25. ZOO 2025).  
Izvori:  
- [Zakon o obrani 2025], Članak 25. (https://www.nacionalnadrzavaprava.</t>
  </si>
  <si>
    <t xml:space="preserve">Detaljne ocjene po pitanju — GraphRAG</t>
  </si>
  <si>
    <t xml:space="preserve">Odgovor modela (GraphRAG)</t>
  </si>
  <si>
    <t xml:space="preserve">Cjelokupna procedura transformacije novaka u razvrstanog pričuvnika regulirana je slijedećim pravnim aktima:  
1. **Zakon o službi u Oružanim snagama Republike Hrvatske** (članak 31):  
   - Novaci se popunom ratnog ustroja Oružanih snaga obračunavaju prema odredbama Zakona o obrani.  
   - Ugovorni pričuvnici se pozivaju i upućuju na službu u skladu s odredbama Zakona o obrani i ovog Zakona.  
2. **Zakon o obrani** (članak 21.a):  
   - Pri dolasku u Oružane snage, pričuvnici moraju ispunjavati uvjete iz članka 21.a, uključujući putovanje od prebivališta do mjesta službe i natrag.  
3. **Pravilnik o temeljnom vojnom osposobljavanju** (članak 2):  
   - Pojam "ročnik" uključuje i one koji se dragovoljno prijave za osposobljavanje, što može dovesti do klasifikacije kao pričuvnika.  
4. **Postupak prijave i evidencije kandidata** (Pravilnik o temeljnom vojnom osposobljavanju, članak 1):  
   - Kandidati se prijavljuju i evidentiraju prema propisanom postupku, što omogućuje njihov prijelaz u status pričuvnika nakon osposobljavanja.  
5. **Kriteriji za razvrstavanje u pričuvnike** (Zakon o obrani, članak 25.a):  
   - Vojni obveznik koji je odslužio temeljno osposobljavanje postaje razvrstan pričuvnik.  
6. **Mogućnost dragovoljnog osposobljavanja** (Zakon o obrani, članak 25.b):  
   - Oni koji su uspješno završili dragovoljno osposobljavanje također ulaze u sustav pričuvništva.  
7. **Dodatni uvjeti za razvrstavanje** (Zakon o obrani, članak 25.c-25.</t>
  </si>
  <si>
    <t xml:space="preserve">Hierarhija odlučivanja o upotrebi Oružanih snaga u različitim situacijama regulirana je kroz **Ustav Republike Hrvatske** i **Zakon o obrani** kako slijedi:  
### **Prema Ustavu (Članak 7):**  
- **Glavna tijela koja odlučuju o upotrebi Oružanih snaga:**  
  - **Hrvatski sabor**, **Predsjednik Republike**, **predsjednik Vlade** i **ministar obrane** imaju pravo odlučivati o upotrebi Oružanih snaga u skladu s Ustavom i Zakonom o obrani.  
  - Za odluke o upotrebi Oružanih snaga potrebno je **višeinsko glasovanje svih zastupnika Hrvatskog sabora** (osim u izuzetim slučajevima kada je potrebna dvotrećinska većina).  
- **Provjera supsidijarnosti:**  
  - Ako Predsjednik Republike odbije suglasnost za uporabu Oružanih snaga, Hrvatski sabor donosi odluku **dvotrećinskom većinom**.  
### **Prema Zakonu o obrani (Članak 46 &amp; 57–58):**  
- **Definiranje tijela koja donose odluke:**  
  - **Vlada** ili **ministar obrane** donose odluke o upotrebi Oružanih snaga (npr. u miru, ratu, izvanrednim situacijama).  
  - **Naredbe** se izvršavaju putem **zapovjedi načelnika Glavnog stožera**.  
- **Posebni slučajevi:**  
  - U slučaju napada na zračnu suverenost RH, upotreba Oružanih snaga regulirana je posebnim zakonom.  
  - U ratu, odluke donose isti akteri (Sabor, Predsjednik, Vlada, ministar obrane), ali s jasnijom procedurom.  
### **Izvješće:**  
Hierarhija je jasno definirana: **najviša odlučna vlast pripada Hrvatskom saboru**, a **izvedbene ovlasti** ima Vlada i ministar obrane, uz kontrolu predsjednika. U izvanrednim situacijama (npr. rat) procedura je detaljnije regulirana.</t>
  </si>
  <si>
    <t xml:space="preserve">Sustav imenovanja i odgovornosti **Načelnika Glavnog stožera** Oružanih snaga Republike Hrvatske (HRZ) reguliran je Zakonom o obrani i drugim relevantnim propisima. Evo ključnih elemenata:
### **Imenovanje Načelnika Glavnog stožera**  
Prema **Članku 15. Zakona o obrani (2025.)**:  
- **Načelnik Glavnog stožera** imenuje se na razdoblje od **četiri godine** i ne može biti ponovno imenovan.  
- **Dužnost** traje do isteka mandata, ali ako je osoba već postavljena na tu poziciju prije stupanja na snagu ovog zakona, zadržava ju do isteka tog mandata (vidi **Članak 123.**).  
- **Predlog** za imenovanje daje načelnik Glavnog stožera, a **suglasnost** daje ministar obrane.  
- **Ustroj Glavnog stožera** određuje Predsjednik Republike na taj prijedlog.  
### **Odgovornosti Načelnika Glavnog stožera**  
Prema **Članku 70. Zakona o obrani (2025.)**:  
1. **Operativno zapovjedništvo** – Načelnik Glavnog stožera ima punu ovlast zapovjedanja u HRZ na temelju direktiva Predsjednika Republike, odluka ministra obrane i zakona.  
2. **Izvršavanje naredaba** – Dužan je izvesti naredbe Predsjednika i ministra obrane, a o njihovoj provedbi mora ih **istodobno obavijestiti**.  
3. **Privremena mobilizacija** – U slučaju opasnosti (katastrofe, velike nesreće), može naredio privremenu mobilizaciju dijelova snaga i mora o tome odmah izvijestiti predsjednika i ministra.  
4. **Reprezentativna uloga** – Radi kao glavni vojni savjetnik Predsjedniku i ministru obrane.  
### **Ostale važne odredbe**  
- Prema **Članku 15.**, Načelnik Glavnog stožera je **nadređen svim postrojbama** u HRZ.  
- Prema **Članku 9.</t>
  </si>
  <si>
    <t xml:space="preserve">Prema **Zakonu o obrani** i **Ustavu Republike Hrvatske**, građani imaju različite oblike obveza u obrani:  
### 1. **Vojna obveza**  
- Prema **Članku 19.** Zakona o obrani, vojna obveza obuhvaća:  
  - Osposobljavanje, pripremu i sudjelovanje u obrani.  
  - Nastaje u kalendarskoj godini kada građanin navrši **18 godina**.  
- Ustav (**Članak 47.**) također spominje da je obrana domovine dužnost građana.  
### 2. **Priopćenje savjesti**  
- Građani mogu odbiti vojnu službu iz vjerskih ili moralnih razloga (Ustav, **Članak 47.**).  
- Moraju ispunjavati druge zakonske obveze umjesto vojne službe.  
### 3. **Radna i materijalna obveza**  
- Prema **Članku 21.f.** Zakona o obrani, građani su dužni pružiti materijalnu potporu obrani.  
- Postoji i **radna obveza** (npr. za pripadnike nekih profesija poput policajaca), ali moraju biti obaviješteni unaprijed (**Članak 21.j.**).  
### 4. **Druge posebne obveze**  
- Za određene skupine (npr. studente, umirovljenike) postoje odgode ili izuzeća (**Članak 21.k–q.**).  
- Građani moraju poštovati odluke nadležnih tijela (npr. pozivi na osposobljavanje, Pravilnik o temeljnom vojnom osposobljavanju, **Članak 4.**).  
Za detaljnije informacije pogledajte odgovarajuće članke Zakona o obrani i Ustava RH.</t>
  </si>
  <si>
    <t xml:space="preserve">Prema **Ustavu Republike Hrvatske** (Brojevi 47), prigovor savjesti dopušten je građanima koji iz vjerskih ili moralnih razloga ne prihvaćaju sudjelovanje u vojnim aktivnostima. Takve osobe moraju ispunjavati alternativne dužnosti prema zakonu.  
### **Sustav vojne obveze i civilna služba**  
- **Zakon o obrani** (Članak 24.) definira uvjete za priznavanje prigovora savjesti i oslobađanje od vojne službe. Osoba koja odabere civilnu službu ne mora odslužiti vojnu obvezu, ali je dužna prijaviti razlog (npr. vjerski ili moralni prigovor).  
- **Civilna služba** (prema istom članku) može se odobriti ako osoba dokaže opravdane razloge (npr. zdravstveno stanje, obiteljski odnosi, zaposlenje). Rok za prijavu je strogo definisan (do 30. lipnja u godini kada navrši 29 godina).  
### **Posljedice odabira civilne službe**  
1. **Status osobe**:  
   - Ostaje u sustavu vojne obveze, ali je oslobođena vojne službe.  
   - Ako odbaci civilnu službu bez opravdanog razloga, može biti kažnjena (npr. novčanom globom).  
2. **Dugoročne posljedice**:  
   - Za određene profesije (policija, vojska) odabir civilne službe može otežati karijeru.  
   - Ako osoba kasnije želi pristupiti vojsci, može biti testirana na sposobnost.  
### **Nadležna tijela**  
- **Ministarstvo obrane** (prema Zakonu o obrani, Članak 24.g) provjerava podneske i donosi odluku.  
- **Područni odjeli za poslove obrane** (Članak 21.) koordiniraju prijave i zdravstvene provjere.  
Izbor civilne službe je zakonit, ali podložan strogim kriterijima. Osoba zadržava status obveznika, ali izbjegava vojnu prisilu uz uvjet poštivanja uvjeta iz zakona.</t>
  </si>
  <si>
    <t xml:space="preserve">Prema **Zakonu o obrani** (čl. 21.) i **Pravilniku o temeljnom vojnom osposobljavanju** (čl. 5.), zdravstvena i psihološka procjena novaka započinje pozivom na zdravstveni pregled i psihologijsko ispitivanje.  
### **1. Poziv na procjenu**  
Novak prima poziv putem nadležnog **područne odjela za poslove obrane** (Zakon o obrani, čl. 21.a), gdje mora dostaviti:  
- Presliku osobne iskaznice (Pravilnik, čl. 13.).  
- Potvrdu o odsustvu kaznenog postupka (Pravilnik, čl. 13.).  
Ako je spriječen, dužan je odmah izvijestiti nadležno tijelo (Pravilnik, čl. 5., stav. 2).  
### **2. Provođenje procjene**  
Zdravstveni pregled i psihologijsko ispitivanje provode akreditirani liječnici i psiholozi. Rezultati se dostavljaju nadležnom odredu (Pravilnik, čl. 5.).  
### **3. Evidencija rezultata**  
Ako je kandidat sposoban, upisuje se u evidenciju ročnika (Zakon o obrani, čl. 24.b; Pravilnik, čl. 13.).  
### **Izbegnut situacije**  
Ako kandidat nije sposoban, dobiva potvrdu o nesposobnosti (Zakon o obrani, čl. 21.g).  
Cijeli proces osmišljen je kako bi se osigurala medicinska i psihička spremnost ročnika za vojnu službu.</t>
  </si>
  <si>
    <t xml:space="preserve">Prema **Zakonu o obrani** (čl. 79.) i **Pravilniku o temeljnom vojnom osposobljavanju** (čl. 10.), nadležnost za donesenje programa obuke i provedbu svečane prisege raspodijeljena je kako slijedi:  
1. **Program svečane prisege** izrađuje **nadležna ustrojstvena jedinica Ministarstva obrane** u suradnji s **Glavnim stožerom Oružanih snaga RH**.  
2. **Datum i mjesto svečane prisege** određuje se **odlukom iz čl. 7. stavka 2. Pravilnika o TVO**, koju donosi **ministar obrane**.  
Tako ministar obrane koordinira provedbu, Glavni stožer sudjeluje u kreiranju programa, a izvršna zadaća pripreme svečanog trenutka leži na ustrojstvenim jedinicama Ministarstva obrane.</t>
  </si>
  <si>
    <t xml:space="preserve">Prema **Zakonu o obrani** (Clanak 70), **nacelnik Glavnog stozera** ima punu ovlast zapovijedanja u Oruzanim snagama na osnovu naredaba Predsednika Republike i odluka ministra obrane. On je **glavni vojni savjetnik** Predsedniku Republike i ministru obrane, odgovoran za provedbu njihovih naredaba i odluka (stavak 2).  
U skladu s **ustavnom ulogom** Predsednika kao **vrhovnog zapovjednika** (**Ustav RH, Clanak 100**), nacelnik Glavnog stozera mora uskladiti svoje aktivnosti s najvišim autoritetom u drzavi. Prema **Zakonu o sluzbi u Oruzanim snagama** (Clanak 9), nacelnik Glavnog stozera je nadreDEN svim stožerima, zapovjedništvima i postrojbama, dok je Predsednik Republike **vrhovni zapovjednik** koji imenuje nacelnika (Clanak 15).  
Tako nacelnik Glavnog stozera djeluje kao **izvršni veza** između Predsednika i operacionih snaga, osiguravajući da se naredbe vrhovnog zapovjednika efikasno implementiraju kroz lanac zapovijedanja (stavak 7, Clanak 70 Zakona o obrani). Istovremeno, nacelnik je odgovoran za izvještavanje Predsednika i ministra obrane o ključnim aktivnostima (stavak 3, Clanak 70).  
Krajnja odgovornost ostaje kod Predsednika kao **vrhovnog zapovjednika**, ali nacelnik Glavnog stozera ima autonomiju u izvršavanju naredaba unutar okvira zakona i strateških smjernica.</t>
  </si>
  <si>
    <t xml:space="preserve">Prema Zakonu o obrani [Clanak 76](https://www.narodne-novine.nn.hr/clanci/#!id=1234567890123456789&amp;highlight=76), **pripravnost** Oružanih snaga predstavlja stanje u kojem se poduzimaju mobilizacijske, organizacijske, sigurnosne i druge mjere radi sprečavanja i uklanjanja opasnosti od napada na Republiku Hrvatsku. Ovo stanje utječe na svakodnevni režim u postrojbi na sljedeći način:
1. **Izlasci iz vojne lokacije**: Prema [Pravilniku o sluzbi u OSRH](https://pravilnikisluzbi.osrh.hr/) [Clanak 15](https://pravilnikisluzbi.osrh.hr/clanak/15), ročnici imaju pravo na izlazak iz vojne lokacije u slobodno vrijeme, ali to pravo može biti ograničeno ovisno o stanju pripravnosti. U stanju neposredne ugroženosti ili ratu, izlazak može biti zabranjen ili strogo kontroliran.
2. **Osiguranje objekata**: U stanju pripravnosti, pojačava se nadzor i osiguranje ključnih objekata unutar vojne lokacije. To je regulirano [Zakonom o obrani](https://www.zakonipoljepano.pravo.hr/clanci/1234567890123456789) [Clanak 76](https://www.narodne-novine.nn.hr/clanci/#!id=1234567890123456789&amp;highlight=76)(3), koji nalaže provođenje mjera osiguranja radi sprječavanja mogućih napada.
3. **Uzbune i alarmni sustav**: U stanju neposredne ugroženosti ili ratu, aktiviraju se alarmni sustavi i redovito se izvode uzbune kako bi se posada brzo mobilizirala. To je detaljnije opisano u [Pravilniku o sluzbi u OSRH](https://pravilnikisluzbi.osrh.</t>
  </si>
  <si>
    <t xml:space="preserve">**Ciklus ugovornog odnosa vojnika/mornara u Oružanim snagama Republike Hrvatske (OSRH):**
### **1. Priupis i odabir**  
Prema **Zakonu o službi u OSRH (Članak 36)**, kandidat mora imati:  
- Srednješkolsko obrazovanje (osim iznimki).  
- Dob između 18 i 30 godina.  
- Završeno dragovoljno ili temeljno vojno osposobljavanje.  
Ministarstvo obrane provodi **program temeljnog vojnog osposobljavanja (Pravilnik, Članak 9)**, gdje se procjenjuju fizičke i psihičke sposobnosti.  
*Ustavna osnova:* Vojna služba temelji se na **Članku 148. Ustava RH**, prema kojem Hrvatska ima profesionalnu vojnu službu.  
---
### **2. Sklapanje ugovora**  
Ako kandidat prođe selekciju, sklapa se **ugovor o vojničkoj službi na određeno vrijeme (Članak 36)**.  
- Trajanje: Obično 5 godina (može varirati).  
- Ugovor uključuje prava i obaveze (npr. plaća, odmor, disciplina).  
*Izazov:* Za one s nižim obrazovanjem (osnovno), Ministarstvo pruža mogućnost završetka srednje škole uz pomoć (Članak 36, Stavak 2).  
---
### **3. Razpored na ustrojbeno mjesto**  
Nakon edukacije, vojnik/mornar dobiva **ustrojbeno mjesto** (bojna postrojba, logistika itd.).  
- Upute daje **Glavni stožer OSRH** (Pravilnik, Članak 15).  
- Prava i dužnosti definiraju se ugovorom (Članak 36).  
*Ključni akt:* **Zakon o obrani (Članak 44)** navodi da činove, premještaje i ustrojbene promjene uređuju posebni propisi.</t>
  </si>
  <si>
    <t xml:space="preserve">Tijekom temeljnog vojnog osposobljavanja (TVO), prava ročnika jasno su definirana Pravilnikom o temeljnom vojnom osposobljavanju (TVO Pravilnik) i Zakonom o službi u Oružanim snagama Republike Hrvatske (Zakon o službi). Evo kako se ta prava povezuju s općim režimom službe:
### **Plaća i naknade**  
Prema **Članku 18. TVO Pravilnika**, ročnik ima pravo na:  
- **Plaću** u iznosu određenom Zakonom o službi (umnožak koeficijenta osobnog čina i osnovice za obračun plaće, vidi **Članak 137.a Zakona o službi**).  
- **Naknadu troškova prijevoza** (najjeftinija karta javnog prijevoza od prebivališta do mjesta osposobljavanja i natrag).  
- Dodatne naknade poput osiguranja (zdravstvenog, od nezgode, radne) i smještaja/prehrane.  
Ove naknade odražavaju opći režim služenja u OSRH, gdje su plaće i beneficije regulirane Zakonom o službi (npr. **Članak 137.a** definira osnovicu za obračun plaće slično kao kod državnih službenika).  
### **Osiguranja i zdravstvena zaštita**  
Ročnik ima pravo na:  
- **Obvezno zdravstveno osiguranje** (vidi **Članak 137.a Zakona o službi**).  
- **Osiguranje od nezgode na radu** (definirano u TVO Pravilniku, Članak 18).  
Ovo slijedi Zakon o službi, gdje su svi pripadnici OSRH obuhvaćeni sustavom osiguranja (npr. **Članak 137.a** spominje zdravstveno osiguranje slično onome u javnoj upravi).</t>
  </si>
  <si>
    <t xml:space="preserve">Ustav Republike Hrvatske (2018.) jamči slobodu savjesti i vjeroispovijedi (Članak 40.), što znači da svi građani imaju pravo na privatno i javno ispovijedanje svoje vjere. Ova ustavna načela prenose se u svakodnevnu praksu u Oružanim snagama putem **Pravilnika o službi u Oružanim snagama Republike Hrvatske** (2025.).
### Sloboda vjeroispovijedi u svakodnevnoj provedbi:
1. **Ustav (Članak 40.):** Jamči pravo na privatno i javno ispovijedanje vjere.
2. **Pravilnik o službi u OSRH (Članak 1):** Definisan je kao temeljni akt koji uređuje službu u Oružanim snagama, uključujući prava i slobode pripadnika.
3. **Pravilnik o temeljnom vojnom osposobljavanju (Članak 10):** Predpisuje svečanu prisegu pred ministrom obrane, ali ne sadrži direktne odredbe o vjeri. Međutim, u praksi se poštuje pravo pripadnika na privatno ispovijedanje vjere.
### Raspored dnevnih aktivnosti:
Prema **Pravilniku o temeljnom vojnom osposobljavanju (Članak 16)**, ročnici imaju pravo na izlazak u slobodno vrijeme u skladu s rasporedom programa obuke. Iako se ne spominje direktno sloboda vjeroispovijedi, u svakodnevnoj provedbi:
- Vojni kapelan može pružati duhovnu potporu.
- Pridržava se načela poštovanja vjerskih potreba (npr. molitve, svetkovine).
- Vođa postrojbe mora osigurati uvjete za ispunjavanje vjerskih potreba unutar propisa.
### Zaključak:
Ustav jamči slobodu vjeroispovijedi, a Pravilnik o službi u OSRH i programi osposobljavanja omogućuju njezino poštivanje u svakodnevnoj provedbi. Vojni sustav omogućuje prilagođavanje rasporeda i pružanje potpore za vjerske potrebe, uz poštivanje načela neutralnosti države.</t>
  </si>
  <si>
    <t xml:space="preserve">Prema **Zakonu o obrani** (Clanak 58), postoje dvije ključne razlike između **korištenja** i **upotrebe** Oružanih snaga:  
### 1. **Korištenje Oružanih snaga**  
- **Definicija**: Korištenje uključuje aktivaciju snaga u miru (npr. za potporu u prirodnim katastrofama, održavanje mira itd.).  
- **Tko donosi odluku?**  
  - **Vlada** ili **ministar obrane** (Clanak 58, Stavak 1).  
  - Provedba se vrši preko **zapovijedi načelnika Glavnog stožera** (Clanak 58, Stavak 3).  
### 2. **Upotreba Oružanih snaga**  
- **Definicija**: Uključuje aktivaciju snaga u ekstremnim situacijama (npr. ratno stanje, teroristički napad).  
- **Tko donosi odluku?**  
  - **Hrvatski sabor**, **Predsjednik Republike**, **predsjednik Vlade** i **ministar obrane** zajedno (Clanak 46, Stavak 1).  
  - Provedba se vrši preko **Glavnog stožera** (Clanak 46, Stavak 3).  
### Ključna razlika:  
- **"Koristiti"** = svakodnevne operacije u miru → odlučuje Vlada/ministar.  
- **"Upotrijebiti"** = krizne situacije → odlučuju višestruki akteri (Sabor, Predsjednik itd.).  
Napomena: Informacije su preuzete isključivo iz navedenih članaka Zakona o obrani.</t>
  </si>
  <si>
    <t xml:space="preserve">Prema **Pravilniku o temeljnom vojnom osposobljavanju**, prava i obveze ročnika tijekom temeljnog vojnog osposobljavanja uključuju sljedeće:  
### **Prava ročnika:**  
1. **Plaća / Naknada** – Prema članku 18. Pravilnika, ročnici imaju pravo na plaću odnosno naknadu u iznosu određenom zakonom kojim se uređuje služba u Oružanim snagama.  
2. **Naknada troškova prijevoza** – Prema članku 18. Pravilnika, ročnici imaju pravo na naknadu troškova javnog prijevoza u visini cijene karte najjeftinijeg javnog prijevoza pri dolasku na mjesto osposobljavanja i povratku.  
3. **Zdravstveno osiguranje** – Prema članku 18. Pravilnika, ročnici imaju pravo na osnovno i dopunsko zdravstveno osiguranje, osiguranje od posljedica nesretnog slučaja, obvezno zdravstveno osiguranje za slučaj ozljede na radu, kao i smještaj i prehranu.  
4. **Mokra i sportska oprema** – Prema članku 18. Pravilnika, ročnici dobivaju vojnu odoru i sportsku opremu.  
5. **Izlazak izvan vojne lokacije** – Prema članku 16. Pravilnika, ročnici imaju pravo na izlazak iz vojne lokacije u skladu s rasporedom utvrđenim programom osposobljavanja.  
### **Obaveze ročnika:**  
- **Pohađanje programa osposobljavanja** – Prema članku 3. Pravilnika, ročnici moraju proći program temeljnog vojnog osposobljavanja kako bi stekli vojna znanja i vještine potrebne za službu u Oružanim snagama.  
- **Spoštivanje propisa i pravila** – Rukovnici su dužni pridržavati se svih propisa i pravila iz članka 1. Pravilnika.  
Ako vam trebaju dodatne pojedinosti, slobodno pitajte!</t>
  </si>
  <si>
    <t xml:space="preserve">Prema **Zakonu o službi u Oružanim snagama Republike Hrvatske**, razlike između **mirnodopskog** i **ratnog sastava** Oružanih snaga definirane su sljedećim načinom:  
### **Mirnodopski sastav**  
- Prema **Članku 25.** Zakona, mirnodopski sastav čine:  
  - *Djelatne vojne osobe* (vojnici, časnici, dočasnici, mornari).  
  - *Službenici i namještenici* (npr. civilni zaposlenici u MORH-u).  
  - *Pričuvnici pozvani na službu*, uključujući:  
    - *Ugovorne pričuvnike*.  
    - *Kadete* (studenti vojne škole).  
    - *Ročnike* (osobe koje su prošle temeljno vojno osposobljavanje).  
  - *Osobe koje su pristupile temeljnom vojnom osposobljavanju*.  
### **Ratni sastav**  
- Prema istom članku, ratni sastav uključuje sve iz mirnodopskog sastava **plus**:  
  - *Mobilizirane vojne obveznike* (npr. ročnici koji nisu još služili).  
### Ključna razlika  
- **Mirnodopski sastav** odnosi se na stalni dio OS-a (aktivno osoblje + pričuve).  
- **Ratni sastav** uključuje i mobiliziranu narodnu gardu (vojne obveznike) u slučaju krize.  
Za dodatne detalje pogledajte **Članak 43.** Zakona o obrani, koji dodatno pojašnjava ustroj vojske.</t>
  </si>
  <si>
    <t xml:space="preserve">Prema **Zakonu o obrani** (NN 136/25), članak 25.a definira uvjete i postupak za odgodu temeljnog vojnog osposobljavanja. Evo ključnih elemenata:  
### **1. Opći uvjeti za odgodu**  
Ročnik može dobiti odgodu ako ispunjava barem jedno sljedeće:  
- **Bolest** – do oporavka (potrebna liječnička potvrda).  
- **Situacija u kućanstvu** – npr. smrt člana obitelji, teška bolest člana kućanstva, neodgodivi poslovi (npr. poljoprivreda) itd. (potrebni dokazi poput potvrde škole, certifikata za poljoprivredu).  
- **Akademsko obrazovanje** – ako je sprečan polaganje ispita ili završetak godine (potvrda fakulteta).  
- **Planirano vjenčanje** – do datuma vjenčanja.  
- **Rodiljni/roditeljski dopust** – za muškarce (potvrda HZZO-a).  
### **2. Postupak za dobivanje odgode**  
1. **Podnesite zahtjev** – putem obrasca dostupnog na područnom odjelu za poslove obrane.  
2. **Priložite dokaze** – ovisno o razlogu (liječnička potvrva, potvrda fakulteta, certifikat poljoprivrede itd.).  
3. **Prihvata odluka** – Ministarstvo obrane donosi odluku najkasnije 40 dana prije roka osposobljavanja (članak 7. Pravilnika o temeljnom vojnom osposobljavanju).  
### **3. Trajanje odgode**  
Trajanje ovisi o razlogu:  
- Do oporavka (bolest).  
- Dok traje situacija u kućanstvu (npr. do kraja godine za studente).  
- Do datuma vjenčanja.  
Za detaljnije informacije pogledajte **članak 25.a Zakona o obrani** i **pravilnik o temeljnom vojnom osposobljavanju**.</t>
  </si>
  <si>
    <t xml:space="preserve">Prema **Pravilniku o službi u Oružanim snagama Republike Hrvatske** (OSRH), unutarnja služba u vojnom objektu obuhvaća niz funkcija usmjerenih na održavanje reda, discipline, sigurnosti i funkcioniranja objekta. Evo ključnih elemenata sustava unutarnje službe:
### **Funkcije unutarnje službe:**
1. **Nadzor i kontrola pristupa**  
   - Zaštita ulaza/izlazaka objekta.  
   - Provjera identiteta posjetitelja i vozila.  
   - Nadzor ograničenih zona (npr. skladišta oružja, komunikacijski centri).  
2. **Bezbednosna služba (BDS)**  
   - Patruljiranje unutar objekta.  
   - Reakcija na incidente (požar, provaljenje, sukobi).  
   - Uporaba tehničkih sredstava (kamere, alarmi).  
3. **Administrativne zadaće**  
   - Vođenje evidencije zaposlenih i posjetitelja.  
   - Organizacija protokola za događaje u objektu.  
4. **Sanitarna i higijenska kontrola**  
   - Osiguranje čistoće prostorija.  
   - Kontrola prehrambenih standarda (ako je riječ o kantinama).  
5. **Logistička podrška**  
   - Upravljanje inventarom (oružje, oprema).  
   - Organizacija transporta unutar baze.  
### **Tko se raspodeljuje na ove zadatke?**  
- **Djelatne vojne osobe (vojnici, dočasnici):** Glavnina zadataka BDS-a i nadzora.  
- **Službenici i namještenici (civilni osoblje):** Administrativne, logističke i sanitarne zadaće.  
- **Posebni timovi:** Sanitetsko osoblje, tehničari za alarmne sustave itd.  
### **Izuzetci od unutarnje službe:**  
- **Visoki časnici i zapovjednici:** Obično imaju vlastite asistente za protokol.</t>
  </si>
  <si>
    <t xml:space="preserve">Postupak podnosenja i rješavanja molbi, pritužbi i prigovora prema **Pravilniku o službi u Oružanim snagama Republike Hrvatske** (dalje: Pravilnik) reguliran je u člancima 21., 214. i 21.a. Evo detaljnog opisa:
### **1. Molbe**  
- **Podnositelj**: Vojna osoba može podnijeti molbu nadređenoj osobi u pismenom obliku.  
- **Predmet**: Pitanja iz rada i života u ustrojstvenoj jedinici OSRH (npr. premestka, dopusta, obrazovanja).  
- **Obveza nadređenog**: Nadređeni mora dati odgovor na molbu u roku od **15 radnih dana** od primitka.  
- **Izvršavanje naredaba**: Podnošenje molbe ne umanjuje obvezu izvršavanja zapovjedi, osim ako je to zabranjeno člankom 17. stavkom 2. Zakona o službi u OSRH.  
### **2. Prigovori**  
- **Temelj**: Vojna osoba može podnijeti prigovor protiv nadređene osobe ako smatra da je prekršen Zakon o službi u OSRH ili drugi propisi.  
- **Postupak**: Prigovor se podnosi nadređenom rukovoditelju, koji ga prosljeđuje nadležnom tijelu za rješavanje (npr. Upravitelju ustrojbene jedinice).  
- **Rok**: Rješenje se mora dostaviti u roku od **30 radnih dana** od zaprimanja prigovora.  
- **Nadležno tijelo**: Za pojedinačne slučajeve nadležan je rukovodioac ustrojbene jedinice, a za višestruke ili kompleksnije slučajeve – Ministarstvo obrane.  
### **3. Prigovori protiv odluka u upravnom postupku**  
Prema članku 214. Zakona o službi u OSRH:  
- **Odluke**: Dotiču prijem u službu, prestanak službe, mirovinska prava itd.</t>
  </si>
  <si>
    <t xml:space="preserve">Prema **Pravilniku o službi u Oružanim snagama Republike Hrvatske**, obveze pripadnika Oružanih snaga (OSRH) tijekom i nakon oružanog sukoba te u zarobljenistvu regulirane su sljedećim načinom:
### **Tijekom oružanog sukoba:**
1. **Dužnosnici moraju poštovati međunarodno vojno i humanitarno pravo** (čl. 40 ZOO):  
   - Ne smiju izvršavati naredbe koje su u suprotnosti s Ustavom ili međunarodnim pravom.  
   - Svi pripadnici OSRH jednakopravni su, bez obzira na spol, vjeru itd. (čl. 40).  
2. **Osiguranje komunikacijskih usluga** (čl. 112 ZOO):  
   - Pravne osobe koje pružaju komunikacijske usluge moraju ih ustupiti OSRH-u ako postoji neposredna ugroženost.  
3. **Temeljno vojno osposobljavanje** (čl. 16 Pravilnika):  
   - Ročnici imaju pravo na izlazak iz vojne lokacije u slobodno vrijeme, ali samo prema rasporedu.  
### **Nakon sukoba / Nakon oslobađanja iz zarobljeništva:**
1. **Mirovine službe** (čl. 74 ZOO):  
   - Ako pripadnik izgubi kontakt s nadređenima &gt;48 h, smatra se privremeno nestalim.  
   - Članovi obitelji dobivaju naknadu plaće do njegovog povratka ili potvrde smrti.  
2. **Zdravstveno osiguranje** (čl. 38 ZOO):  
   - Troškovi liječenja ozljeda/bolesti stečenih u sukobu pokrivaju se do oporavka ili dok se ne utvrdi invaliditet.  
3. **Kazneno-pravna odgovornost** (čl. 169 ZOO):  
   - Za svako 5 mjeseci u inozemstvu pripadnik ima pravo na 10-dnevni plaćeni dopust nakon povratka.</t>
  </si>
  <si>
    <t xml:space="preserve">Prema **Pravilniku o službi u Oružanim snagama Republike Hrvatske** (OSRH), sustav i vrste uzbune definiraju se kako slijedi:  
### **1. Vrste uzbune**  
U OSRH postoje sljedeće vrste uzbune:  
- **Mirnodopska uzbuna** – uključuje redovite vježbe, inspekcije i pripreme za mirnodopsku službu.  
- **Borbena uzbuna** – aktivira se u slučaju stvarne ugroze države (npr. agresija, terorizam).  
- **Mobilizacijska uzbuna** – poziv pričuvnika i dragovoljaca u slučaju eskalacije krize.  
- **Specijalne uzbune** – poput nuklearne, kemijske, biološke ili ekološke ugroze (CBRN).  
### **2. Kome pripada zapovjedništvo?**  
- **Ministar obrane** može proglasiti opću mobilizaciju.  
- **Glavni stožer OSRH** (predsjednik GS) donosi odluke o razinama uzbune.  
- **Teritorijalni zapovjednici** (regionalni šefovi) aktiviraju lokalne uzbune.  
### **3. Što uključuje uputa za borbenu uzbunu?**  
Ako se objavi **borbena uzbuna**, slijede ove korake:  
1. **Obavijest građana** putem medija, SMS-a i sirena.  
2. **Pripreme postrojbi** – brzo preuzimanje položaja, opskrba streljivom i gorivom.  
3. **Izvješćivanje** – zapovjednici moraju potvrditi status postrojbi.  
4. **Zaštitne mjere** – evakuacija civilnog stanovništva, blokiranje ključnih objekata.  
5. **Koordinacija s EU i NATO-om** – ako je potrebno.  
Izvor: **Pravilnik o službi u OSRH**, članci vezani za upravljanje krizama i protokole uzbune.</t>
  </si>
  <si>
    <t xml:space="preserve">Vojna obveza za državljane Republike Hrvatske **nastupa u kalendarskoj godini u kojoj navršavaju 18 godina života** [Zakon o obrani 2025, Članak 19].  
Napomena: Ova informacija temelji se isključivo na dostupnim dokumentima.</t>
  </si>
  <si>
    <t xml:space="preserve">Temeljno vojno osposobljavanje traje **30 dana**.  
Izvor: [Pravilnik o temeljnom vojnom osposobljavanju, Članak 20](https://pravilnikik.pravactv.</t>
  </si>
  <si>
    <t xml:space="preserve">Vrhovni zapovjednik Oružanih snaga Republike Hrvatske je Predsjednik Republike Hrvatske. Ova informacija proizlazi iz Ustava Republike Hrvatske iz 2018., Članak 100, koji navodi da "Predsjednik Republike vrhovni je zapovjednik oružanih snaga Republike Hrvatske.</t>
  </si>
  <si>
    <t xml:space="preserve">Tri grane Oružanih snaga Republike Hrvatske su:
1. **Hrvatska kopnena vojska** (Clanak 41, Stavak 3)
2. **Hrvatska ratna mornarica** (Clanak 41, Stavak 3)
3.</t>
  </si>
  <si>
    <t xml:space="preserve">Vojna obveza za muškarce prestaje prema **Zakonu o obrani** (Clanak 20):  
- Na kraju kalendarske godine u kojoj navršavaju **55 godina života**, ako su ocijenjeni nesposobnima za vojnu službu.  
- Posebno za **više časnike i generale/admirale**, vojna obveza prestaje posljednjeg dana kalendarske godine u kojoj navršavaju **65 godina života**.  
Dodatno, prema **Zakonu o službi u Oružanim snagama RH** (Clanak 210), vojni rok započinje u kalendarskoj godini u kojoj građanin navršava **18 godina života**.  
Napomena: Informacije su preuzete isključivo iz navedenih članaka zakona.</t>
  </si>
  <si>
    <t xml:space="preserve">Načelnik Glavnog stožera Oružanih snaga imenuje se na razdoblje od četiri godine i ne može biti ponovno imenovan. Načelnik Glavnog stožera imenuje se na razdoblje od četiri godine i ne može biti ponovno imenovan.  
**Izvor:** [Zakon o obrani 2025, Članak 4](https://www.narodne-novine.</t>
  </si>
  <si>
    <t xml:space="preserve">Mandat načelnika Glavnog stožera traje **4 godine**.  
Izvor: [Zakon o obrani 2025, Članak 14](https://www.zakonyprolidi.</t>
  </si>
  <si>
    <t xml:space="preserve">Temeljna svrha obrane Republike Hrvatske jest osigurati suverenitet, neovisnost i teritorijalnu cjelovitost zemlje, kao i zaštitu građana i njihovog života, slobode i imovine. Ova svrha je definirana u članku 3. Zakona o obrani, gdje se navodi da obrana uključuje pripremu, uporabu i korištenje snaga i sredstava u ratnom stanju, stanju neposredne ugroženosti neovisnosti, jedinstvenosti i opstojnosti Republike Hrvatske i miru.</t>
  </si>
  <si>
    <t xml:space="preserve">Novak može biti upućen na temeljno vojno osposobljavanje do navršenih **29 godina** starosti. Ova granica je definirana u članku 24.k Zakona o obrani 2025. godine.  
Ako postoji dodatni kontekst ili pitanja vezana uz ovu temu, slobodno pitajte!</t>
  </si>
  <si>
    <t xml:space="preserve">Odluku o mobilizaciji Oružanih snaga donosi **Vlada** ili **ministar obrane** u skladu s odredbama Zakona o obrani.  
Izvor: [Zakon o obrani 2025, Članak 74.](https://www.novo-zakonodavstvo.</t>
  </si>
  <si>
    <t xml:space="preserve">Prema Zakonu o obrani 2025., vojna obveza za žene prestaje kada navrše **50 godina** života.  
Izvor: [Zakon o obrani 2025, Članak 20](https://www.nacionalno-sigurnosno-pravodavno-informaciono-podrstavanje.hr/documents/zakon_o_obrani_2025.pdf), stavak (1).</t>
  </si>
  <si>
    <t xml:space="preserve">Građanin Republike Hrvatske uvodi se u vojnu evidenciju u kalendarskoj godini u kojoj navršava **18 godina** života.  
Izvor: [Zakon o obrani 2025, Članak 19](https://www.narodnonovine.</t>
  </si>
  <si>
    <t xml:space="preserve">Ratno stanje u Republici Hrvatskoj proglašava Hrvatski sabor. Međutim, prema Ustavu Republike Hrvatske (Članak 100), u slučaju neposredne ugroženosti neovisnosti, jedinstvenosti i opstojnosti države, Predsjednik Republike može, uz supotpis predsjednika Vlade, narediti uporabu oružanih snaga iako nije proglašeno ratno stanje.</t>
  </si>
  <si>
    <t xml:space="preserve">Ministar obrane donosi odluku o upućivanju kandidata na temeljno vojno osposobljavanje najkasnije 25 dana prije datuma upućivanja. Ova informacija temelji se na članku 20. Pravilnika o temeljnom vojnom osposobljavanju.</t>
  </si>
  <si>
    <t xml:space="preserve">Program obuke ročnika na temeljnom vojnom osposobljavanju donosi **načelnik Glavnog stožera Oružanih snaga Republike Hrvatske**, prema članku 2. Pravilnika o temeljnom vojnom osposobljavanju.  
Napomena: Ova informacija temelji se na članku 2. navedenog pravilnika.</t>
  </si>
  <si>
    <t xml:space="preserve">Na temeljnom vojnom osposobljavanju, ročnici se osposobljavaju za vojnostručnu specijalnost "strijelac" (specijalnost 11A), prema zadatcima i standardima definiranima u programu obuke ročnika.</t>
  </si>
  <si>
    <t xml:space="preserve">Mirnodopski sastav Oružanih snaga čini:  
- **Djelatne vojne osobe** – profesionalni časnici i dočasnici.  
- **Službenici i namještenici** – civilni zaposlenici u vojsci.  
- **Pričuvnici pozvani na obuku** – obveznik koji prolazi redovitu obuku.  
- **Ugovorni pričuvnici** – dobrovoljno regrutirani civili s vojnim ugovorom.  
- **Kadeti** – polaznici vojne škole.  
- **Ročnici** – građani koji su završili temeljno vojno osposobljavanje.  
Izvor: [Zakon o obrani 2025, Članak 43](https://www.zakonyproljudi.</t>
  </si>
  <si>
    <t xml:space="preserve">Mirnodopski i ratni ustroj Oružanih snaga utvrđuje Predsjednik Republike Hrvatske. Ova informacija proizlazi iz **Članka 45.** Zakona o obrani 2025., gdje je navedeno da Predsjednik Republike utvrđuje mirnodopski i ratni ustroj Oružanih snaga te strukturu činova u mirnodopskom i ratnom ustroju Oružanih snaga.  
Napomena: ova informacija nije pronađena u dostupnim dokumentima.</t>
  </si>
  <si>
    <t xml:space="preserve">Minimalno trajanje godišnjeg odmora djelatne vojne osobe iznosi **četiri tjedna** (16 radnih dana), kako je definirano u **Članku 156. stavku 1.** Zakona o službi u Oružanim snagama Republike Hrvatske 2025.  
Iako se u istom članku dopušta povećanje trajanja odmora prema određenim kriterijima (npr. radni staž, dužnost, zdravlje), minimalna granica ostaje nepromijenjena.</t>
  </si>
  <si>
    <t xml:space="preserve">Djelatnoj vojnoj osobi u slučaju rođenja djeteta pripada **sedam radnih dana** plaćenog dopusta, kako je definirano u [Zakon o službi u Oružanim snagama Republike Hrvatske 2025, Članak 159](https://www.narodne-novine.hr/#_133086). Ovaj se broj dana odnosi na osnove poput rođenja djeteta, gdje je točno navedeno "rođenja djeteta" sa sedmodnevnim trajanjem.</t>
  </si>
  <si>
    <t xml:space="preserve">Djelatnoj vojnoj osobi u slučaju zaključenja braka pripada **sedam radnih dana** plaćenog dopusta, kako je definirano u **Članku 159.** Zakona o službi u Oružanim snagama Republike Hrvatske.  
Ako okolnost nastupi u vrijeme korištenja godišnjeg odmora, privremene nesposobnosti ili odsutnosti iz službe iz drugih razloga, pravo na plaćeni dopust se ne ostvaruje.</t>
  </si>
  <si>
    <t xml:space="preserve">Vojna iskaznica je identifikacijski dokument koji dokazuje pripadnost Oružanim snagama Republike Hrvatske. Izdaje se vojnim osobama, službenicima i namještenicima u skladu sa Zakonom o obrani (članak 24). Ministar obrane propisuje oblik i sadržaj ove iskaznice pravilnikom. Ročnicima i pričuvnicima također se izdaje vojna iskaznica, ali prema posebnim propisima.</t>
  </si>
  <si>
    <t xml:space="preserve">Model</t>
  </si>
  <si>
    <t xml:space="preserve">pravna_tocnost</t>
  </si>
  <si>
    <t xml:space="preserve">citiranje</t>
  </si>
  <si>
    <t xml:space="preserve">primjenjivost</t>
  </si>
  <si>
    <t xml:space="preserve">potpunost</t>
  </si>
  <si>
    <t xml:space="preserve">jasnoca</t>
  </si>
  <si>
    <t xml:space="preserve">Ukupno</t>
  </si>
  <si>
    <t xml:space="preserve">graph</t>
  </si>
  <si>
    <t xml:space="preserve">kompleksna_pitanja_vise_dokumenata</t>
  </si>
  <si>
    <t xml:space="preserve">rag</t>
  </si>
  <si>
    <t xml:space="preserve">vanilla</t>
  </si>
  <si>
    <t xml:space="preserve">kompleksna_pitanja_jeden_dokument</t>
  </si>
  <si>
    <t xml:space="preserve">jednostavna_pitanja</t>
  </si>
</sst>
</file>

<file path=xl/styles.xml><?xml version="1.0" encoding="utf-8"?>
<styleSheet xmlns="http://schemas.openxmlformats.org/spreadsheetml/2006/main">
  <numFmts count="5">
    <numFmt numFmtId="164" formatCode="General"/>
    <numFmt numFmtId="165" formatCode="0.00"/>
    <numFmt numFmtId="166" formatCode="0.000"/>
    <numFmt numFmtId="167" formatCode="0.0"/>
    <numFmt numFmtId="168" formatCode="0"/>
  </numFmts>
  <fonts count="9">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b val="true"/>
      <sz val="10"/>
      <name val="Arial"/>
      <family val="0"/>
      <charset val="1"/>
    </font>
    <font>
      <b val="true"/>
      <sz val="11"/>
      <color rgb="FFFFFFFF"/>
      <name val="Arial"/>
      <family val="0"/>
      <charset val="1"/>
    </font>
    <font>
      <sz val="10"/>
      <name val="Arial"/>
      <family val="0"/>
      <charset val="1"/>
    </font>
  </fonts>
  <fills count="9">
    <fill>
      <patternFill patternType="none"/>
    </fill>
    <fill>
      <patternFill patternType="gray125"/>
    </fill>
    <fill>
      <patternFill patternType="solid">
        <fgColor rgb="FF1F3864"/>
        <bgColor rgb="FF333333"/>
      </patternFill>
    </fill>
    <fill>
      <patternFill patternType="solid">
        <fgColor rgb="FFD9E1F2"/>
        <bgColor rgb="FFE2EFDA"/>
      </patternFill>
    </fill>
    <fill>
      <patternFill patternType="solid">
        <fgColor rgb="FFFCE4D6"/>
        <bgColor rgb="FFE2EFDA"/>
      </patternFill>
    </fill>
    <fill>
      <patternFill patternType="solid">
        <fgColor rgb="FFFFC7CE"/>
        <bgColor rgb="FFFCE4D6"/>
      </patternFill>
    </fill>
    <fill>
      <patternFill patternType="solid">
        <fgColor rgb="FFFFEB9C"/>
        <bgColor rgb="FFFCE4D6"/>
      </patternFill>
    </fill>
    <fill>
      <patternFill patternType="solid">
        <fgColor rgb="FFE2EFDA"/>
        <bgColor rgb="FFD9E1F2"/>
      </patternFill>
    </fill>
    <fill>
      <patternFill patternType="solid">
        <fgColor rgb="FFC6EFCE"/>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5" fontId="8" fillId="0" borderId="1" xfId="0" applyFont="true" applyBorder="true" applyAlignment="true" applyProtection="false">
      <alignment horizontal="center" vertical="center"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5" fontId="6" fillId="3"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6" fontId="8" fillId="0" borderId="1" xfId="0" applyFont="true" applyBorder="true" applyAlignment="true" applyProtection="false">
      <alignment horizontal="center" vertical="center" textRotation="0" wrapText="false" indent="0" shrinkToFit="false"/>
      <protection locked="true" hidden="false"/>
    </xf>
    <xf numFmtId="167" fontId="8" fillId="0"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center" vertical="top" textRotation="0" wrapText="fals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8" fontId="8" fillId="4" borderId="1" xfId="0" applyFont="true" applyBorder="true" applyAlignment="true" applyProtection="false">
      <alignment horizontal="center" vertical="top" textRotation="0" wrapText="false" indent="0" shrinkToFit="false"/>
      <protection locked="true" hidden="false"/>
    </xf>
    <xf numFmtId="168" fontId="8" fillId="5" borderId="1" xfId="0" applyFont="true" applyBorder="true" applyAlignment="true" applyProtection="false">
      <alignment horizontal="center" vertical="top" textRotation="0" wrapText="false" indent="0" shrinkToFit="false"/>
      <protection locked="true" hidden="false"/>
    </xf>
    <xf numFmtId="168" fontId="8" fillId="6" borderId="1" xfId="0" applyFont="true" applyBorder="true" applyAlignment="true" applyProtection="false">
      <alignment horizontal="center" vertical="top" textRotation="0" wrapText="false" indent="0" shrinkToFit="false"/>
      <protection locked="true" hidden="false"/>
    </xf>
    <xf numFmtId="168" fontId="8" fillId="7" borderId="1" xfId="0" applyFont="true" applyBorder="true" applyAlignment="true" applyProtection="false">
      <alignment horizontal="center" vertical="top" textRotation="0" wrapText="false" indent="0" shrinkToFit="false"/>
      <protection locked="true" hidden="false"/>
    </xf>
    <xf numFmtId="165" fontId="6" fillId="0" borderId="1" xfId="0" applyFont="true" applyBorder="true" applyAlignment="true" applyProtection="false">
      <alignment horizontal="center" vertical="top"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right" vertical="bottom" textRotation="0" wrapText="false" indent="0" shrinkToFit="false"/>
      <protection locked="true" hidden="false"/>
    </xf>
    <xf numFmtId="168" fontId="8" fillId="8" borderId="1" xfId="0" applyFont="true" applyBorder="true" applyAlignment="true" applyProtection="false">
      <alignment horizontal="center" vertical="top"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2EFDA"/>
      <rgbColor rgb="FFFCE4D6"/>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4" min="2" style="0" width="16"/>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5" customFormat="false" ht="15" hidden="false" customHeight="false" outlineLevel="0" collapsed="false">
      <c r="A5" s="3" t="s">
        <v>3</v>
      </c>
    </row>
    <row r="6" customFormat="false" ht="15" hidden="false" customHeight="false" outlineLevel="0" collapsed="false">
      <c r="A6" s="4" t="s">
        <v>4</v>
      </c>
      <c r="B6" s="4" t="s">
        <v>5</v>
      </c>
      <c r="C6" s="4" t="s">
        <v>6</v>
      </c>
      <c r="D6" s="4" t="s">
        <v>7</v>
      </c>
    </row>
    <row r="7" customFormat="false" ht="15" hidden="false" customHeight="false" outlineLevel="0" collapsed="false">
      <c r="A7" s="5" t="s">
        <v>8</v>
      </c>
      <c r="B7" s="6" t="n">
        <f aca="false">AVERAGEIFS(Podaci!$C:$C,Podaci!$B:$B,"vanilla")</f>
        <v>2.16279069767442</v>
      </c>
      <c r="C7" s="6" t="n">
        <f aca="false">AVERAGEIFS(Podaci!$C:$C,Podaci!$B:$B,"rag")</f>
        <v>4.11627906976744</v>
      </c>
      <c r="D7" s="6" t="n">
        <f aca="false">AVERAGEIFS(Podaci!$C:$C,Podaci!$B:$B,"graph")</f>
        <v>3.65116279069767</v>
      </c>
    </row>
    <row r="8" customFormat="false" ht="15" hidden="false" customHeight="false" outlineLevel="0" collapsed="false">
      <c r="A8" s="5" t="s">
        <v>9</v>
      </c>
      <c r="B8" s="6" t="n">
        <f aca="false">AVERAGEIFS(Podaci!$D:$D,Podaci!$B:$B,"vanilla")</f>
        <v>1.37209302325581</v>
      </c>
      <c r="C8" s="6" t="n">
        <f aca="false">AVERAGEIFS(Podaci!$D:$D,Podaci!$B:$B,"rag")</f>
        <v>3.76744186046512</v>
      </c>
      <c r="D8" s="6" t="n">
        <f aca="false">AVERAGEIFS(Podaci!$D:$D,Podaci!$B:$B,"graph")</f>
        <v>3.06976744186047</v>
      </c>
    </row>
    <row r="9" customFormat="false" ht="15" hidden="false" customHeight="false" outlineLevel="0" collapsed="false">
      <c r="A9" s="5" t="s">
        <v>10</v>
      </c>
      <c r="B9" s="6" t="n">
        <f aca="false">AVERAGEIFS(Podaci!$E:$E,Podaci!$B:$B,"vanilla")</f>
        <v>2.90697674418605</v>
      </c>
      <c r="C9" s="6" t="n">
        <f aca="false">AVERAGEIFS(Podaci!$E:$E,Podaci!$B:$B,"rag")</f>
        <v>4.2093023255814</v>
      </c>
      <c r="D9" s="6" t="n">
        <f aca="false">AVERAGEIFS(Podaci!$E:$E,Podaci!$B:$B,"graph")</f>
        <v>3.76744186046512</v>
      </c>
    </row>
    <row r="10" customFormat="false" ht="15" hidden="false" customHeight="false" outlineLevel="0" collapsed="false">
      <c r="A10" s="5" t="s">
        <v>11</v>
      </c>
      <c r="B10" s="6" t="n">
        <f aca="false">AVERAGEIFS(Podaci!$F:$F,Podaci!$B:$B,"vanilla")</f>
        <v>2.30232558139535</v>
      </c>
      <c r="C10" s="6" t="n">
        <f aca="false">AVERAGEIFS(Podaci!$F:$F,Podaci!$B:$B,"rag")</f>
        <v>3.86046511627907</v>
      </c>
      <c r="D10" s="6" t="n">
        <f aca="false">AVERAGEIFS(Podaci!$F:$F,Podaci!$B:$B,"graph")</f>
        <v>3.34883720930233</v>
      </c>
    </row>
    <row r="11" customFormat="false" ht="15" hidden="false" customHeight="false" outlineLevel="0" collapsed="false">
      <c r="A11" s="5" t="s">
        <v>12</v>
      </c>
      <c r="B11" s="6" t="n">
        <f aca="false">AVERAGEIFS(Podaci!$G:$G,Podaci!$B:$B,"vanilla")</f>
        <v>3.67441860465116</v>
      </c>
      <c r="C11" s="6" t="n">
        <f aca="false">AVERAGEIFS(Podaci!$G:$G,Podaci!$B:$B,"rag")</f>
        <v>4.44186046511628</v>
      </c>
      <c r="D11" s="6" t="n">
        <f aca="false">AVERAGEIFS(Podaci!$G:$G,Podaci!$B:$B,"graph")</f>
        <v>4.23255813953488</v>
      </c>
    </row>
    <row r="12" customFormat="false" ht="15" hidden="false" customHeight="false" outlineLevel="0" collapsed="false">
      <c r="A12" s="7" t="s">
        <v>13</v>
      </c>
      <c r="B12" s="8" t="n">
        <f aca="false">AVERAGE(B7:B11)</f>
        <v>2.48372093023256</v>
      </c>
      <c r="C12" s="8" t="n">
        <f aca="false">AVERAGE(C7:C11)</f>
        <v>4.07906976744186</v>
      </c>
      <c r="D12" s="8" t="n">
        <f aca="false">AVERAGE(D7:D11)</f>
        <v>3.61395348837209</v>
      </c>
    </row>
    <row r="15" customFormat="false" ht="15" hidden="false" customHeight="false" outlineLevel="0" collapsed="false">
      <c r="A15" s="3" t="s">
        <v>14</v>
      </c>
    </row>
    <row r="16" customFormat="false" ht="15" hidden="false" customHeight="false" outlineLevel="0" collapsed="false">
      <c r="A16" s="4" t="s">
        <v>15</v>
      </c>
      <c r="B16" s="4" t="s">
        <v>5</v>
      </c>
      <c r="C16" s="4" t="s">
        <v>6</v>
      </c>
      <c r="D16" s="4" t="s">
        <v>7</v>
      </c>
    </row>
    <row r="17" customFormat="false" ht="15" hidden="false" customHeight="false" outlineLevel="0" collapsed="false">
      <c r="A17" s="5" t="s">
        <v>16</v>
      </c>
      <c r="B17" s="6" t="n">
        <f aca="false">AVERAGEIFS(Podaci!$I:$I,Podaci!$B:$B,"vanilla",Podaci!$H:$H,"jednostavna_pitanja")</f>
        <v>2.57391304347826</v>
      </c>
      <c r="C17" s="6" t="n">
        <f aca="false">AVERAGEIFS(Podaci!$I:$I,Podaci!$B:$B,"rag",Podaci!$H:$H,"jednostavna_pitanja")</f>
        <v>4.5304347826087</v>
      </c>
      <c r="D17" s="6" t="n">
        <f aca="false">AVERAGEIFS(Podaci!$I:$I,Podaci!$B:$B,"graph",Podaci!$H:$H,"jednostavna_pitanja")</f>
        <v>3.91304347826087</v>
      </c>
    </row>
    <row r="18" customFormat="false" ht="15" hidden="false" customHeight="false" outlineLevel="0" collapsed="false">
      <c r="A18" s="5" t="s">
        <v>17</v>
      </c>
      <c r="B18" s="6" t="n">
        <f aca="false">AVERAGEIFS(Podaci!$I:$I,Podaci!$B:$B,"vanilla",Podaci!$H:$H,"kompleksna_pitanja_jeden_dokument")</f>
        <v>2.35</v>
      </c>
      <c r="C18" s="6" t="n">
        <f aca="false">AVERAGEIFS(Podaci!$I:$I,Podaci!$B:$B,"rag",Podaci!$H:$H,"kompleksna_pitanja_jeden_dokument")</f>
        <v>3.675</v>
      </c>
      <c r="D18" s="6" t="n">
        <f aca="false">AVERAGEIFS(Podaci!$I:$I,Podaci!$B:$B,"graph",Podaci!$H:$H,"kompleksna_pitanja_jeden_dokument")</f>
        <v>3.275</v>
      </c>
    </row>
    <row r="19" customFormat="false" ht="15" hidden="false" customHeight="false" outlineLevel="0" collapsed="false">
      <c r="A19" s="5" t="s">
        <v>18</v>
      </c>
      <c r="B19" s="6" t="n">
        <f aca="false">AVERAGEIFS(Podaci!$I:$I,Podaci!$B:$B,"vanilla",Podaci!$H:$H,"kompleksna_pitanja_vise_dokumenata")</f>
        <v>2.4</v>
      </c>
      <c r="C19" s="6" t="n">
        <f aca="false">AVERAGEIFS(Podaci!$I:$I,Podaci!$B:$B,"rag",Podaci!$H:$H,"kompleksna_pitanja_vise_dokumenata")</f>
        <v>3.48333333333333</v>
      </c>
      <c r="D19" s="6" t="n">
        <f aca="false">AVERAGEIFS(Podaci!$I:$I,Podaci!$B:$B,"graph",Podaci!$H:$H,"kompleksna_pitanja_vise_dokumenata")</f>
        <v>3.26666666666667</v>
      </c>
    </row>
    <row r="22" customFormat="false" ht="15" hidden="false" customHeight="false" outlineLevel="0" collapsed="false">
      <c r="A22" s="3" t="s">
        <v>19</v>
      </c>
    </row>
    <row r="23" customFormat="false" ht="15" hidden="false" customHeight="false" outlineLevel="0" collapsed="false">
      <c r="A23" s="4" t="s">
        <v>20</v>
      </c>
      <c r="B23" s="4" t="s">
        <v>21</v>
      </c>
      <c r="C23" s="4" t="s">
        <v>22</v>
      </c>
    </row>
    <row r="24" customFormat="false" ht="15" hidden="false" customHeight="false" outlineLevel="0" collapsed="false">
      <c r="A24" s="5" t="s">
        <v>23</v>
      </c>
      <c r="B24" s="9" t="s">
        <v>24</v>
      </c>
      <c r="C24" s="9" t="s">
        <v>25</v>
      </c>
    </row>
    <row r="25" customFormat="false" ht="15" hidden="false" customHeight="false" outlineLevel="0" collapsed="false">
      <c r="A25" s="5" t="s">
        <v>26</v>
      </c>
      <c r="B25" s="9" t="s">
        <v>27</v>
      </c>
      <c r="C25" s="9" t="s">
        <v>28</v>
      </c>
    </row>
    <row r="26" customFormat="false" ht="15" hidden="false" customHeight="false" outlineLevel="0" collapsed="false">
      <c r="A26" s="5" t="s">
        <v>29</v>
      </c>
      <c r="B26" s="9" t="s">
        <v>24</v>
      </c>
      <c r="C26" s="9" t="s">
        <v>28</v>
      </c>
    </row>
    <row r="27" customFormat="false" ht="15" hidden="false" customHeight="false" outlineLevel="0" collapsed="false">
      <c r="A27" s="5" t="s">
        <v>30</v>
      </c>
      <c r="B27" s="9" t="s">
        <v>24</v>
      </c>
      <c r="C27" s="9" t="s">
        <v>31</v>
      </c>
    </row>
    <row r="30" customFormat="false" ht="15" hidden="false" customHeight="false" outlineLevel="0" collapsed="false">
      <c r="A30" s="3" t="s">
        <v>32</v>
      </c>
    </row>
    <row r="31" customFormat="false" ht="15" hidden="false" customHeight="false" outlineLevel="0" collapsed="false">
      <c r="A31" s="4" t="s">
        <v>33</v>
      </c>
      <c r="B31" s="4" t="s">
        <v>5</v>
      </c>
      <c r="C31" s="4" t="s">
        <v>6</v>
      </c>
      <c r="D31" s="4" t="s">
        <v>7</v>
      </c>
    </row>
    <row r="32" customFormat="false" ht="15" hidden="false" customHeight="false" outlineLevel="0" collapsed="false">
      <c r="A32" s="5" t="s">
        <v>34</v>
      </c>
      <c r="B32" s="10" t="n">
        <v>0.149</v>
      </c>
      <c r="C32" s="10" t="n">
        <v>0.306</v>
      </c>
      <c r="D32" s="10" t="n">
        <v>0.279</v>
      </c>
    </row>
    <row r="33" customFormat="false" ht="15" hidden="false" customHeight="false" outlineLevel="0" collapsed="false">
      <c r="A33" s="5" t="s">
        <v>35</v>
      </c>
      <c r="B33" s="10" t="n">
        <v>0.898</v>
      </c>
      <c r="C33" s="10" t="n">
        <v>0.915</v>
      </c>
      <c r="D33" s="10" t="n">
        <v>0.914</v>
      </c>
    </row>
    <row r="34" customFormat="false" ht="15" hidden="false" customHeight="false" outlineLevel="0" collapsed="false">
      <c r="A34" s="5" t="s">
        <v>36</v>
      </c>
      <c r="B34" s="10" t="n">
        <v>0.677</v>
      </c>
      <c r="C34" s="10" t="n">
        <v>0.723</v>
      </c>
      <c r="D34" s="10" t="n">
        <v>0.716</v>
      </c>
    </row>
    <row r="35" customFormat="false" ht="15" hidden="false" customHeight="false" outlineLevel="0" collapsed="false">
      <c r="A35" s="5" t="s">
        <v>37</v>
      </c>
      <c r="B35" s="11" t="n">
        <v>34.4</v>
      </c>
      <c r="C35" s="11" t="n">
        <v>39.2</v>
      </c>
      <c r="D35" s="11" t="n">
        <v>33.5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8"/>
    <col collapsed="false" customWidth="true" hidden="false" outlineLevel="0" max="3" min="3" style="0" width="42"/>
    <col collapsed="false" customWidth="true" hidden="false" outlineLevel="0" max="8" min="4" style="0" width="11"/>
    <col collapsed="false" customWidth="true" hidden="false" outlineLevel="0" max="9" min="9" style="0" width="9"/>
    <col collapsed="false" customWidth="true" hidden="false" outlineLevel="0" max="10" min="10" style="0" width="44"/>
    <col collapsed="false" customWidth="true" hidden="false" outlineLevel="0" max="12" min="11" style="0" width="70"/>
  </cols>
  <sheetData>
    <row r="1" customFormat="false" ht="19.5" hidden="false" customHeight="true" outlineLevel="0" collapsed="false">
      <c r="A1" s="1" t="s">
        <v>38</v>
      </c>
    </row>
    <row r="3" customFormat="false" ht="15" hidden="false" customHeight="false" outlineLevel="0" collapsed="false">
      <c r="A3" s="4" t="s">
        <v>39</v>
      </c>
      <c r="B3" s="4" t="s">
        <v>40</v>
      </c>
      <c r="C3" s="4" t="s">
        <v>41</v>
      </c>
      <c r="D3" s="4" t="s">
        <v>8</v>
      </c>
      <c r="E3" s="4" t="s">
        <v>9</v>
      </c>
      <c r="F3" s="4" t="s">
        <v>10</v>
      </c>
      <c r="G3" s="4" t="s">
        <v>11</v>
      </c>
      <c r="H3" s="4" t="s">
        <v>12</v>
      </c>
      <c r="I3" s="4" t="s">
        <v>42</v>
      </c>
      <c r="J3" s="4" t="s">
        <v>43</v>
      </c>
      <c r="K3" s="4" t="s">
        <v>44</v>
      </c>
      <c r="L3" s="4" t="s">
        <v>45</v>
      </c>
    </row>
    <row r="4" customFormat="false" ht="94.5" hidden="false" customHeight="true" outlineLevel="0" collapsed="false">
      <c r="A4" s="12" t="n">
        <v>1</v>
      </c>
      <c r="B4" s="13" t="s">
        <v>46</v>
      </c>
      <c r="C4" s="13" t="s">
        <v>47</v>
      </c>
      <c r="D4" s="14" t="n">
        <v>2</v>
      </c>
      <c r="E4" s="15" t="n">
        <v>1</v>
      </c>
      <c r="F4" s="16" t="n">
        <v>3</v>
      </c>
      <c r="G4" s="16" t="n">
        <v>3</v>
      </c>
      <c r="H4" s="17" t="n">
        <v>4</v>
      </c>
      <c r="I4" s="18" t="n">
        <f aca="false">AVERAGE(D4:H4)</f>
        <v>2.6</v>
      </c>
      <c r="J4" s="13" t="s">
        <v>48</v>
      </c>
      <c r="K4" s="13" t="s">
        <v>49</v>
      </c>
      <c r="L4" s="13" t="s">
        <v>50</v>
      </c>
    </row>
    <row r="5" customFormat="false" ht="94.5" hidden="false" customHeight="true" outlineLevel="0" collapsed="false">
      <c r="A5" s="12" t="n">
        <v>2</v>
      </c>
      <c r="B5" s="13" t="s">
        <v>46</v>
      </c>
      <c r="C5" s="13" t="s">
        <v>51</v>
      </c>
      <c r="D5" s="14" t="n">
        <v>2</v>
      </c>
      <c r="E5" s="15" t="n">
        <v>1</v>
      </c>
      <c r="F5" s="16" t="n">
        <v>3</v>
      </c>
      <c r="G5" s="14" t="n">
        <v>2</v>
      </c>
      <c r="H5" s="17" t="n">
        <v>4</v>
      </c>
      <c r="I5" s="18" t="n">
        <f aca="false">AVERAGE(D5:H5)</f>
        <v>2.4</v>
      </c>
      <c r="J5" s="13" t="s">
        <v>52</v>
      </c>
      <c r="K5" s="13" t="s">
        <v>53</v>
      </c>
      <c r="L5" s="13" t="s">
        <v>54</v>
      </c>
    </row>
    <row r="6" customFormat="false" ht="94.5" hidden="false" customHeight="true" outlineLevel="0" collapsed="false">
      <c r="A6" s="12" t="n">
        <v>3</v>
      </c>
      <c r="B6" s="13" t="s">
        <v>46</v>
      </c>
      <c r="C6" s="13" t="s">
        <v>55</v>
      </c>
      <c r="D6" s="14" t="n">
        <v>2</v>
      </c>
      <c r="E6" s="15" t="n">
        <v>1</v>
      </c>
      <c r="F6" s="16" t="n">
        <v>3</v>
      </c>
      <c r="G6" s="14" t="n">
        <v>2</v>
      </c>
      <c r="H6" s="17" t="n">
        <v>4</v>
      </c>
      <c r="I6" s="18" t="n">
        <f aca="false">AVERAGE(D6:H6)</f>
        <v>2.4</v>
      </c>
      <c r="J6" s="13" t="s">
        <v>56</v>
      </c>
      <c r="K6" s="13" t="s">
        <v>57</v>
      </c>
      <c r="L6" s="13" t="s">
        <v>58</v>
      </c>
    </row>
    <row r="7" customFormat="false" ht="94.5" hidden="false" customHeight="true" outlineLevel="0" collapsed="false">
      <c r="A7" s="12" t="n">
        <v>4</v>
      </c>
      <c r="B7" s="13" t="s">
        <v>46</v>
      </c>
      <c r="C7" s="13" t="s">
        <v>59</v>
      </c>
      <c r="D7" s="14" t="n">
        <v>2</v>
      </c>
      <c r="E7" s="15" t="n">
        <v>1</v>
      </c>
      <c r="F7" s="16" t="n">
        <v>3</v>
      </c>
      <c r="G7" s="14" t="n">
        <v>2</v>
      </c>
      <c r="H7" s="17" t="n">
        <v>4</v>
      </c>
      <c r="I7" s="18" t="n">
        <f aca="false">AVERAGE(D7:H7)</f>
        <v>2.4</v>
      </c>
      <c r="J7" s="13" t="s">
        <v>60</v>
      </c>
      <c r="K7" s="13" t="s">
        <v>61</v>
      </c>
      <c r="L7" s="13" t="s">
        <v>62</v>
      </c>
    </row>
    <row r="8" customFormat="false" ht="94.5" hidden="false" customHeight="true" outlineLevel="0" collapsed="false">
      <c r="A8" s="12" t="n">
        <v>5</v>
      </c>
      <c r="B8" s="13" t="s">
        <v>46</v>
      </c>
      <c r="C8" s="13" t="s">
        <v>63</v>
      </c>
      <c r="D8" s="14" t="n">
        <v>2</v>
      </c>
      <c r="E8" s="15" t="n">
        <v>1</v>
      </c>
      <c r="F8" s="16" t="n">
        <v>3</v>
      </c>
      <c r="G8" s="14" t="n">
        <v>2</v>
      </c>
      <c r="H8" s="17" t="n">
        <v>4</v>
      </c>
      <c r="I8" s="18" t="n">
        <f aca="false">AVERAGE(D8:H8)</f>
        <v>2.4</v>
      </c>
      <c r="J8" s="13" t="s">
        <v>64</v>
      </c>
      <c r="K8" s="13" t="s">
        <v>65</v>
      </c>
      <c r="L8" s="13" t="s">
        <v>66</v>
      </c>
    </row>
    <row r="9" customFormat="false" ht="94.5" hidden="false" customHeight="true" outlineLevel="0" collapsed="false">
      <c r="A9" s="12" t="n">
        <v>6</v>
      </c>
      <c r="B9" s="13" t="s">
        <v>46</v>
      </c>
      <c r="C9" s="13" t="s">
        <v>67</v>
      </c>
      <c r="D9" s="14" t="n">
        <v>2</v>
      </c>
      <c r="E9" s="15" t="n">
        <v>1</v>
      </c>
      <c r="F9" s="14" t="n">
        <v>2</v>
      </c>
      <c r="G9" s="14" t="n">
        <v>2</v>
      </c>
      <c r="H9" s="17" t="n">
        <v>4</v>
      </c>
      <c r="I9" s="18" t="n">
        <f aca="false">AVERAGE(D9:H9)</f>
        <v>2.2</v>
      </c>
      <c r="J9" s="13" t="s">
        <v>68</v>
      </c>
      <c r="K9" s="13" t="s">
        <v>69</v>
      </c>
      <c r="L9" s="13" t="s">
        <v>70</v>
      </c>
    </row>
    <row r="10" customFormat="false" ht="94.5" hidden="false" customHeight="true" outlineLevel="0" collapsed="false">
      <c r="A10" s="12" t="n">
        <v>7</v>
      </c>
      <c r="B10" s="13" t="s">
        <v>46</v>
      </c>
      <c r="C10" s="13" t="s">
        <v>71</v>
      </c>
      <c r="D10" s="14" t="n">
        <v>2</v>
      </c>
      <c r="E10" s="15" t="n">
        <v>1</v>
      </c>
      <c r="F10" s="14" t="n">
        <v>2</v>
      </c>
      <c r="G10" s="14" t="n">
        <v>2</v>
      </c>
      <c r="H10" s="16" t="n">
        <v>3</v>
      </c>
      <c r="I10" s="18" t="n">
        <f aca="false">AVERAGE(D10:H10)</f>
        <v>2</v>
      </c>
      <c r="J10" s="13" t="s">
        <v>72</v>
      </c>
      <c r="K10" s="13" t="s">
        <v>73</v>
      </c>
      <c r="L10" s="13" t="s">
        <v>74</v>
      </c>
    </row>
    <row r="11" customFormat="false" ht="94.5" hidden="false" customHeight="true" outlineLevel="0" collapsed="false">
      <c r="A11" s="12" t="n">
        <v>8</v>
      </c>
      <c r="B11" s="13" t="s">
        <v>46</v>
      </c>
      <c r="C11" s="13" t="s">
        <v>75</v>
      </c>
      <c r="D11" s="16" t="n">
        <v>3</v>
      </c>
      <c r="E11" s="14" t="n">
        <v>2</v>
      </c>
      <c r="F11" s="16" t="n">
        <v>3</v>
      </c>
      <c r="G11" s="16" t="n">
        <v>3</v>
      </c>
      <c r="H11" s="17" t="n">
        <v>4</v>
      </c>
      <c r="I11" s="18" t="n">
        <f aca="false">AVERAGE(D11:H11)</f>
        <v>3</v>
      </c>
      <c r="J11" s="13" t="s">
        <v>76</v>
      </c>
      <c r="K11" s="13" t="s">
        <v>77</v>
      </c>
      <c r="L11" s="13" t="s">
        <v>78</v>
      </c>
    </row>
    <row r="12" customFormat="false" ht="94.5" hidden="false" customHeight="true" outlineLevel="0" collapsed="false">
      <c r="A12" s="12" t="n">
        <v>9</v>
      </c>
      <c r="B12" s="13" t="s">
        <v>46</v>
      </c>
      <c r="C12" s="13" t="s">
        <v>79</v>
      </c>
      <c r="D12" s="14" t="n">
        <v>2</v>
      </c>
      <c r="E12" s="15" t="n">
        <v>1</v>
      </c>
      <c r="F12" s="14" t="n">
        <v>2</v>
      </c>
      <c r="G12" s="14" t="n">
        <v>2</v>
      </c>
      <c r="H12" s="16" t="n">
        <v>3</v>
      </c>
      <c r="I12" s="18" t="n">
        <f aca="false">AVERAGE(D12:H12)</f>
        <v>2</v>
      </c>
      <c r="J12" s="13" t="s">
        <v>80</v>
      </c>
      <c r="K12" s="13" t="s">
        <v>81</v>
      </c>
      <c r="L12" s="13" t="s">
        <v>82</v>
      </c>
    </row>
    <row r="13" customFormat="false" ht="94.5" hidden="false" customHeight="true" outlineLevel="0" collapsed="false">
      <c r="A13" s="12" t="n">
        <v>10</v>
      </c>
      <c r="B13" s="13" t="s">
        <v>46</v>
      </c>
      <c r="C13" s="13" t="s">
        <v>83</v>
      </c>
      <c r="D13" s="14" t="n">
        <v>2</v>
      </c>
      <c r="E13" s="15" t="n">
        <v>1</v>
      </c>
      <c r="F13" s="16" t="n">
        <v>3</v>
      </c>
      <c r="G13" s="14" t="n">
        <v>2</v>
      </c>
      <c r="H13" s="17" t="n">
        <v>4</v>
      </c>
      <c r="I13" s="18" t="n">
        <f aca="false">AVERAGE(D13:H13)</f>
        <v>2.4</v>
      </c>
      <c r="J13" s="13" t="s">
        <v>84</v>
      </c>
      <c r="K13" s="13" t="s">
        <v>85</v>
      </c>
      <c r="L13" s="13" t="s">
        <v>86</v>
      </c>
    </row>
    <row r="14" customFormat="false" ht="94.5" hidden="false" customHeight="true" outlineLevel="0" collapsed="false">
      <c r="A14" s="12" t="n">
        <v>11</v>
      </c>
      <c r="B14" s="13" t="s">
        <v>46</v>
      </c>
      <c r="C14" s="13" t="s">
        <v>87</v>
      </c>
      <c r="D14" s="14" t="n">
        <v>2</v>
      </c>
      <c r="E14" s="15" t="n">
        <v>1</v>
      </c>
      <c r="F14" s="16" t="n">
        <v>3</v>
      </c>
      <c r="G14" s="14" t="n">
        <v>2</v>
      </c>
      <c r="H14" s="16" t="n">
        <v>3</v>
      </c>
      <c r="I14" s="18" t="n">
        <f aca="false">AVERAGE(D14:H14)</f>
        <v>2.2</v>
      </c>
      <c r="J14" s="13" t="s">
        <v>88</v>
      </c>
      <c r="K14" s="13" t="s">
        <v>89</v>
      </c>
      <c r="L14" s="13" t="s">
        <v>90</v>
      </c>
    </row>
    <row r="15" customFormat="false" ht="94.5" hidden="false" customHeight="true" outlineLevel="0" collapsed="false">
      <c r="A15" s="12" t="n">
        <v>12</v>
      </c>
      <c r="B15" s="13" t="s">
        <v>46</v>
      </c>
      <c r="C15" s="13" t="s">
        <v>91</v>
      </c>
      <c r="D15" s="16" t="n">
        <v>3</v>
      </c>
      <c r="E15" s="14" t="n">
        <v>2</v>
      </c>
      <c r="F15" s="16" t="n">
        <v>3</v>
      </c>
      <c r="G15" s="14" t="n">
        <v>2</v>
      </c>
      <c r="H15" s="17" t="n">
        <v>4</v>
      </c>
      <c r="I15" s="18" t="n">
        <f aca="false">AVERAGE(D15:H15)</f>
        <v>2.8</v>
      </c>
      <c r="J15" s="13" t="s">
        <v>92</v>
      </c>
      <c r="K15" s="13" t="s">
        <v>93</v>
      </c>
      <c r="L15" s="13" t="s">
        <v>94</v>
      </c>
    </row>
    <row r="16" customFormat="false" ht="94.5" hidden="false" customHeight="true" outlineLevel="0" collapsed="false">
      <c r="A16" s="12" t="n">
        <v>13</v>
      </c>
      <c r="B16" s="13" t="s">
        <v>95</v>
      </c>
      <c r="C16" s="13" t="s">
        <v>96</v>
      </c>
      <c r="D16" s="14" t="n">
        <v>2</v>
      </c>
      <c r="E16" s="15" t="n">
        <v>1</v>
      </c>
      <c r="F16" s="16" t="n">
        <v>3</v>
      </c>
      <c r="G16" s="14" t="n">
        <v>2</v>
      </c>
      <c r="H16" s="17" t="n">
        <v>4</v>
      </c>
      <c r="I16" s="18" t="n">
        <f aca="false">AVERAGE(D16:H16)</f>
        <v>2.4</v>
      </c>
      <c r="J16" s="13" t="s">
        <v>97</v>
      </c>
      <c r="K16" s="13" t="s">
        <v>98</v>
      </c>
      <c r="L16" s="13" t="s">
        <v>99</v>
      </c>
    </row>
    <row r="17" customFormat="false" ht="94.5" hidden="false" customHeight="true" outlineLevel="0" collapsed="false">
      <c r="A17" s="12" t="n">
        <v>14</v>
      </c>
      <c r="B17" s="13" t="s">
        <v>95</v>
      </c>
      <c r="C17" s="13" t="s">
        <v>100</v>
      </c>
      <c r="D17" s="14" t="n">
        <v>2</v>
      </c>
      <c r="E17" s="15" t="n">
        <v>1</v>
      </c>
      <c r="F17" s="16" t="n">
        <v>3</v>
      </c>
      <c r="G17" s="14" t="n">
        <v>2</v>
      </c>
      <c r="H17" s="17" t="n">
        <v>4</v>
      </c>
      <c r="I17" s="18" t="n">
        <f aca="false">AVERAGE(D17:H17)</f>
        <v>2.4</v>
      </c>
      <c r="J17" s="13" t="s">
        <v>101</v>
      </c>
      <c r="K17" s="13" t="s">
        <v>102</v>
      </c>
      <c r="L17" s="13" t="s">
        <v>103</v>
      </c>
    </row>
    <row r="18" customFormat="false" ht="94.5" hidden="false" customHeight="true" outlineLevel="0" collapsed="false">
      <c r="A18" s="12" t="n">
        <v>15</v>
      </c>
      <c r="B18" s="13" t="s">
        <v>95</v>
      </c>
      <c r="C18" s="13" t="s">
        <v>104</v>
      </c>
      <c r="D18" s="14" t="n">
        <v>2</v>
      </c>
      <c r="E18" s="15" t="n">
        <v>1</v>
      </c>
      <c r="F18" s="16" t="n">
        <v>3</v>
      </c>
      <c r="G18" s="14" t="n">
        <v>2</v>
      </c>
      <c r="H18" s="17" t="n">
        <v>4</v>
      </c>
      <c r="I18" s="18" t="n">
        <f aca="false">AVERAGE(D18:H18)</f>
        <v>2.4</v>
      </c>
      <c r="J18" s="13" t="s">
        <v>105</v>
      </c>
      <c r="K18" s="13" t="s">
        <v>106</v>
      </c>
      <c r="L18" s="13" t="s">
        <v>107</v>
      </c>
    </row>
    <row r="19" customFormat="false" ht="94.5" hidden="false" customHeight="true" outlineLevel="0" collapsed="false">
      <c r="A19" s="12" t="n">
        <v>16</v>
      </c>
      <c r="B19" s="13" t="s">
        <v>95</v>
      </c>
      <c r="C19" s="13" t="s">
        <v>108</v>
      </c>
      <c r="D19" s="14" t="n">
        <v>2</v>
      </c>
      <c r="E19" s="15" t="n">
        <v>1</v>
      </c>
      <c r="F19" s="16" t="n">
        <v>3</v>
      </c>
      <c r="G19" s="14" t="n">
        <v>2</v>
      </c>
      <c r="H19" s="17" t="n">
        <v>4</v>
      </c>
      <c r="I19" s="18" t="n">
        <f aca="false">AVERAGE(D19:H19)</f>
        <v>2.4</v>
      </c>
      <c r="J19" s="13" t="s">
        <v>109</v>
      </c>
      <c r="K19" s="13" t="s">
        <v>110</v>
      </c>
      <c r="L19" s="13" t="s">
        <v>111</v>
      </c>
    </row>
    <row r="20" customFormat="false" ht="94.5" hidden="false" customHeight="true" outlineLevel="0" collapsed="false">
      <c r="A20" s="12" t="n">
        <v>17</v>
      </c>
      <c r="B20" s="13" t="s">
        <v>95</v>
      </c>
      <c r="C20" s="13" t="s">
        <v>112</v>
      </c>
      <c r="D20" s="14" t="n">
        <v>2</v>
      </c>
      <c r="E20" s="15" t="n">
        <v>1</v>
      </c>
      <c r="F20" s="16" t="n">
        <v>3</v>
      </c>
      <c r="G20" s="14" t="n">
        <v>2</v>
      </c>
      <c r="H20" s="17" t="n">
        <v>4</v>
      </c>
      <c r="I20" s="18" t="n">
        <f aca="false">AVERAGE(D20:H20)</f>
        <v>2.4</v>
      </c>
      <c r="J20" s="13" t="s">
        <v>113</v>
      </c>
      <c r="K20" s="13" t="s">
        <v>114</v>
      </c>
      <c r="L20" s="13" t="s">
        <v>115</v>
      </c>
    </row>
    <row r="21" customFormat="false" ht="94.5" hidden="false" customHeight="true" outlineLevel="0" collapsed="false">
      <c r="A21" s="12" t="n">
        <v>18</v>
      </c>
      <c r="B21" s="13" t="s">
        <v>95</v>
      </c>
      <c r="C21" s="13" t="s">
        <v>116</v>
      </c>
      <c r="D21" s="14" t="n">
        <v>2</v>
      </c>
      <c r="E21" s="15" t="n">
        <v>1</v>
      </c>
      <c r="F21" s="16" t="n">
        <v>3</v>
      </c>
      <c r="G21" s="14" t="n">
        <v>2</v>
      </c>
      <c r="H21" s="17" t="n">
        <v>4</v>
      </c>
      <c r="I21" s="18" t="n">
        <f aca="false">AVERAGE(D21:H21)</f>
        <v>2.4</v>
      </c>
      <c r="J21" s="13" t="s">
        <v>117</v>
      </c>
      <c r="K21" s="13" t="s">
        <v>118</v>
      </c>
      <c r="L21" s="13" t="s">
        <v>119</v>
      </c>
    </row>
    <row r="22" customFormat="false" ht="94.5" hidden="false" customHeight="true" outlineLevel="0" collapsed="false">
      <c r="A22" s="12" t="n">
        <v>19</v>
      </c>
      <c r="B22" s="13" t="s">
        <v>95</v>
      </c>
      <c r="C22" s="13" t="s">
        <v>120</v>
      </c>
      <c r="D22" s="14" t="n">
        <v>2</v>
      </c>
      <c r="E22" s="15" t="n">
        <v>1</v>
      </c>
      <c r="F22" s="16" t="n">
        <v>3</v>
      </c>
      <c r="G22" s="14" t="n">
        <v>2</v>
      </c>
      <c r="H22" s="16" t="n">
        <v>3</v>
      </c>
      <c r="I22" s="18" t="n">
        <f aca="false">AVERAGE(D22:H22)</f>
        <v>2.2</v>
      </c>
      <c r="J22" s="13" t="s">
        <v>121</v>
      </c>
      <c r="K22" s="13" t="s">
        <v>122</v>
      </c>
      <c r="L22" s="13" t="s">
        <v>123</v>
      </c>
    </row>
    <row r="23" customFormat="false" ht="94.5" hidden="false" customHeight="true" outlineLevel="0" collapsed="false">
      <c r="A23" s="12" t="n">
        <v>20</v>
      </c>
      <c r="B23" s="13" t="s">
        <v>95</v>
      </c>
      <c r="C23" s="13" t="s">
        <v>124</v>
      </c>
      <c r="D23" s="14" t="n">
        <v>2</v>
      </c>
      <c r="E23" s="15" t="n">
        <v>1</v>
      </c>
      <c r="F23" s="16" t="n">
        <v>3</v>
      </c>
      <c r="G23" s="14" t="n">
        <v>2</v>
      </c>
      <c r="H23" s="16" t="n">
        <v>3</v>
      </c>
      <c r="I23" s="18" t="n">
        <f aca="false">AVERAGE(D23:H23)</f>
        <v>2.2</v>
      </c>
      <c r="J23" s="13" t="s">
        <v>125</v>
      </c>
      <c r="K23" s="13" t="s">
        <v>126</v>
      </c>
      <c r="L23" s="13" t="s">
        <v>127</v>
      </c>
    </row>
    <row r="24" customFormat="false" ht="94.5" hidden="false" customHeight="true" outlineLevel="0" collapsed="false">
      <c r="A24" s="12" t="n">
        <v>21</v>
      </c>
      <c r="B24" s="13" t="s">
        <v>128</v>
      </c>
      <c r="C24" s="13" t="s">
        <v>129</v>
      </c>
      <c r="D24" s="15" t="n">
        <v>1</v>
      </c>
      <c r="E24" s="15" t="n">
        <v>1</v>
      </c>
      <c r="F24" s="14" t="n">
        <v>2</v>
      </c>
      <c r="G24" s="14" t="n">
        <v>2</v>
      </c>
      <c r="H24" s="17" t="n">
        <v>4</v>
      </c>
      <c r="I24" s="18" t="n">
        <f aca="false">AVERAGE(D24:H24)</f>
        <v>2</v>
      </c>
      <c r="J24" s="13" t="s">
        <v>130</v>
      </c>
      <c r="K24" s="13" t="s">
        <v>131</v>
      </c>
      <c r="L24" s="13" t="s">
        <v>132</v>
      </c>
    </row>
    <row r="25" customFormat="false" ht="94.5" hidden="false" customHeight="true" outlineLevel="0" collapsed="false">
      <c r="A25" s="12" t="n">
        <v>22</v>
      </c>
      <c r="B25" s="13" t="s">
        <v>128</v>
      </c>
      <c r="C25" s="13" t="s">
        <v>133</v>
      </c>
      <c r="D25" s="16" t="n">
        <v>3</v>
      </c>
      <c r="E25" s="14" t="n">
        <v>2</v>
      </c>
      <c r="F25" s="17" t="n">
        <v>4</v>
      </c>
      <c r="G25" s="16" t="n">
        <v>3</v>
      </c>
      <c r="H25" s="17" t="n">
        <v>4</v>
      </c>
      <c r="I25" s="18" t="n">
        <f aca="false">AVERAGE(D25:H25)</f>
        <v>3.2</v>
      </c>
      <c r="J25" s="13" t="s">
        <v>134</v>
      </c>
      <c r="K25" s="13" t="s">
        <v>135</v>
      </c>
      <c r="L25" s="13" t="s">
        <v>136</v>
      </c>
    </row>
    <row r="26" customFormat="false" ht="94.5" hidden="false" customHeight="true" outlineLevel="0" collapsed="false">
      <c r="A26" s="12" t="n">
        <v>23</v>
      </c>
      <c r="B26" s="13" t="s">
        <v>128</v>
      </c>
      <c r="C26" s="13" t="s">
        <v>137</v>
      </c>
      <c r="D26" s="15" t="n">
        <v>1</v>
      </c>
      <c r="E26" s="15" t="n">
        <v>1</v>
      </c>
      <c r="F26" s="14" t="n">
        <v>2</v>
      </c>
      <c r="G26" s="14" t="n">
        <v>2</v>
      </c>
      <c r="H26" s="17" t="n">
        <v>4</v>
      </c>
      <c r="I26" s="18" t="n">
        <f aca="false">AVERAGE(D26:H26)</f>
        <v>2</v>
      </c>
      <c r="J26" s="13" t="s">
        <v>138</v>
      </c>
      <c r="K26" s="13" t="s">
        <v>139</v>
      </c>
      <c r="L26" s="13" t="s">
        <v>140</v>
      </c>
    </row>
    <row r="27" customFormat="false" ht="94.5" hidden="false" customHeight="true" outlineLevel="0" collapsed="false">
      <c r="A27" s="12" t="n">
        <v>24</v>
      </c>
      <c r="B27" s="13" t="s">
        <v>128</v>
      </c>
      <c r="C27" s="13" t="s">
        <v>141</v>
      </c>
      <c r="D27" s="17" t="n">
        <v>4</v>
      </c>
      <c r="E27" s="16" t="n">
        <v>3</v>
      </c>
      <c r="F27" s="17" t="n">
        <v>4</v>
      </c>
      <c r="G27" s="17" t="n">
        <v>4</v>
      </c>
      <c r="H27" s="17" t="n">
        <v>4</v>
      </c>
      <c r="I27" s="18" t="n">
        <f aca="false">AVERAGE(D27:H27)</f>
        <v>3.8</v>
      </c>
      <c r="J27" s="13" t="s">
        <v>142</v>
      </c>
      <c r="K27" s="13" t="s">
        <v>143</v>
      </c>
      <c r="L27" s="13" t="s">
        <v>144</v>
      </c>
    </row>
    <row r="28" customFormat="false" ht="94.5" hidden="false" customHeight="true" outlineLevel="0" collapsed="false">
      <c r="A28" s="12" t="n">
        <v>25</v>
      </c>
      <c r="B28" s="13" t="s">
        <v>128</v>
      </c>
      <c r="C28" s="13" t="s">
        <v>145</v>
      </c>
      <c r="D28" s="15" t="n">
        <v>1</v>
      </c>
      <c r="E28" s="15" t="n">
        <v>1</v>
      </c>
      <c r="F28" s="14" t="n">
        <v>2</v>
      </c>
      <c r="G28" s="14" t="n">
        <v>2</v>
      </c>
      <c r="H28" s="16" t="n">
        <v>3</v>
      </c>
      <c r="I28" s="18" t="n">
        <f aca="false">AVERAGE(D28:H28)</f>
        <v>1.8</v>
      </c>
      <c r="J28" s="13" t="s">
        <v>146</v>
      </c>
      <c r="K28" s="13" t="s">
        <v>147</v>
      </c>
      <c r="L28" s="13" t="s">
        <v>148</v>
      </c>
    </row>
    <row r="29" customFormat="false" ht="94.5" hidden="false" customHeight="true" outlineLevel="0" collapsed="false">
      <c r="A29" s="12" t="n">
        <v>26</v>
      </c>
      <c r="B29" s="13" t="s">
        <v>128</v>
      </c>
      <c r="C29" s="13" t="s">
        <v>149</v>
      </c>
      <c r="D29" s="15" t="n">
        <v>1</v>
      </c>
      <c r="E29" s="15" t="n">
        <v>1</v>
      </c>
      <c r="F29" s="14" t="n">
        <v>2</v>
      </c>
      <c r="G29" s="14" t="n">
        <v>2</v>
      </c>
      <c r="H29" s="17" t="n">
        <v>4</v>
      </c>
      <c r="I29" s="18" t="n">
        <f aca="false">AVERAGE(D29:H29)</f>
        <v>2</v>
      </c>
      <c r="J29" s="13" t="s">
        <v>150</v>
      </c>
      <c r="K29" s="13" t="s">
        <v>151</v>
      </c>
      <c r="L29" s="13" t="s">
        <v>152</v>
      </c>
    </row>
    <row r="30" customFormat="false" ht="94.5" hidden="false" customHeight="true" outlineLevel="0" collapsed="false">
      <c r="A30" s="12" t="n">
        <v>27</v>
      </c>
      <c r="B30" s="13" t="s">
        <v>128</v>
      </c>
      <c r="C30" s="13" t="s">
        <v>153</v>
      </c>
      <c r="D30" s="17" t="n">
        <v>4</v>
      </c>
      <c r="E30" s="16" t="n">
        <v>3</v>
      </c>
      <c r="F30" s="17" t="n">
        <v>4</v>
      </c>
      <c r="G30" s="16" t="n">
        <v>3</v>
      </c>
      <c r="H30" s="17" t="n">
        <v>4</v>
      </c>
      <c r="I30" s="18" t="n">
        <f aca="false">AVERAGE(D30:H30)</f>
        <v>3.6</v>
      </c>
      <c r="J30" s="13" t="s">
        <v>154</v>
      </c>
      <c r="K30" s="13" t="s">
        <v>155</v>
      </c>
      <c r="L30" s="13" t="s">
        <v>156</v>
      </c>
    </row>
    <row r="31" customFormat="false" ht="94.5" hidden="false" customHeight="true" outlineLevel="0" collapsed="false">
      <c r="A31" s="12" t="n">
        <v>28</v>
      </c>
      <c r="B31" s="13" t="s">
        <v>128</v>
      </c>
      <c r="C31" s="13" t="s">
        <v>157</v>
      </c>
      <c r="D31" s="17" t="n">
        <v>4</v>
      </c>
      <c r="E31" s="17" t="n">
        <v>4</v>
      </c>
      <c r="F31" s="17" t="n">
        <v>4</v>
      </c>
      <c r="G31" s="17" t="n">
        <v>4</v>
      </c>
      <c r="H31" s="17" t="n">
        <v>4</v>
      </c>
      <c r="I31" s="18" t="n">
        <f aca="false">AVERAGE(D31:H31)</f>
        <v>4</v>
      </c>
      <c r="J31" s="13" t="s">
        <v>158</v>
      </c>
      <c r="K31" s="13" t="s">
        <v>159</v>
      </c>
      <c r="L31" s="13" t="s">
        <v>160</v>
      </c>
    </row>
    <row r="32" customFormat="false" ht="94.5" hidden="false" customHeight="true" outlineLevel="0" collapsed="false">
      <c r="A32" s="12" t="n">
        <v>29</v>
      </c>
      <c r="B32" s="13" t="s">
        <v>128</v>
      </c>
      <c r="C32" s="13" t="s">
        <v>161</v>
      </c>
      <c r="D32" s="16" t="n">
        <v>3</v>
      </c>
      <c r="E32" s="14" t="n">
        <v>2</v>
      </c>
      <c r="F32" s="17" t="n">
        <v>4</v>
      </c>
      <c r="G32" s="16" t="n">
        <v>3</v>
      </c>
      <c r="H32" s="17" t="n">
        <v>4</v>
      </c>
      <c r="I32" s="18" t="n">
        <f aca="false">AVERAGE(D32:H32)</f>
        <v>3.2</v>
      </c>
      <c r="J32" s="13" t="s">
        <v>162</v>
      </c>
      <c r="K32" s="13" t="s">
        <v>163</v>
      </c>
      <c r="L32" s="13" t="s">
        <v>164</v>
      </c>
    </row>
    <row r="33" customFormat="false" ht="94.5" hidden="false" customHeight="true" outlineLevel="0" collapsed="false">
      <c r="A33" s="12" t="n">
        <v>30</v>
      </c>
      <c r="B33" s="13" t="s">
        <v>128</v>
      </c>
      <c r="C33" s="13" t="s">
        <v>165</v>
      </c>
      <c r="D33" s="15" t="n">
        <v>1</v>
      </c>
      <c r="E33" s="15" t="n">
        <v>1</v>
      </c>
      <c r="F33" s="14" t="n">
        <v>2</v>
      </c>
      <c r="G33" s="14" t="n">
        <v>2</v>
      </c>
      <c r="H33" s="16" t="n">
        <v>3</v>
      </c>
      <c r="I33" s="18" t="n">
        <f aca="false">AVERAGE(D33:H33)</f>
        <v>1.8</v>
      </c>
      <c r="J33" s="13" t="s">
        <v>166</v>
      </c>
      <c r="K33" s="13" t="s">
        <v>167</v>
      </c>
      <c r="L33" s="13" t="s">
        <v>168</v>
      </c>
    </row>
    <row r="34" customFormat="false" ht="94.5" hidden="false" customHeight="true" outlineLevel="0" collapsed="false">
      <c r="A34" s="12" t="n">
        <v>31</v>
      </c>
      <c r="B34" s="13" t="s">
        <v>128</v>
      </c>
      <c r="C34" s="13" t="s">
        <v>169</v>
      </c>
      <c r="D34" s="15" t="n">
        <v>1</v>
      </c>
      <c r="E34" s="15" t="n">
        <v>1</v>
      </c>
      <c r="F34" s="14" t="n">
        <v>2</v>
      </c>
      <c r="G34" s="14" t="n">
        <v>2</v>
      </c>
      <c r="H34" s="16" t="n">
        <v>3</v>
      </c>
      <c r="I34" s="18" t="n">
        <f aca="false">AVERAGE(D34:H34)</f>
        <v>1.8</v>
      </c>
      <c r="J34" s="13" t="s">
        <v>170</v>
      </c>
      <c r="K34" s="13" t="s">
        <v>171</v>
      </c>
      <c r="L34" s="13" t="s">
        <v>172</v>
      </c>
    </row>
    <row r="35" customFormat="false" ht="94.5" hidden="false" customHeight="true" outlineLevel="0" collapsed="false">
      <c r="A35" s="12" t="n">
        <v>32</v>
      </c>
      <c r="B35" s="13" t="s">
        <v>128</v>
      </c>
      <c r="C35" s="13" t="s">
        <v>173</v>
      </c>
      <c r="D35" s="16" t="n">
        <v>3</v>
      </c>
      <c r="E35" s="14" t="n">
        <v>2</v>
      </c>
      <c r="F35" s="16" t="n">
        <v>3</v>
      </c>
      <c r="G35" s="16" t="n">
        <v>3</v>
      </c>
      <c r="H35" s="16" t="n">
        <v>3</v>
      </c>
      <c r="I35" s="18" t="n">
        <f aca="false">AVERAGE(D35:H35)</f>
        <v>2.8</v>
      </c>
      <c r="J35" s="13" t="s">
        <v>174</v>
      </c>
      <c r="K35" s="13" t="s">
        <v>175</v>
      </c>
      <c r="L35" s="13" t="s">
        <v>176</v>
      </c>
    </row>
    <row r="36" customFormat="false" ht="94.5" hidden="false" customHeight="true" outlineLevel="0" collapsed="false">
      <c r="A36" s="12" t="n">
        <v>33</v>
      </c>
      <c r="B36" s="13" t="s">
        <v>128</v>
      </c>
      <c r="C36" s="13" t="s">
        <v>177</v>
      </c>
      <c r="D36" s="14" t="n">
        <v>2</v>
      </c>
      <c r="E36" s="15" t="n">
        <v>1</v>
      </c>
      <c r="F36" s="16" t="n">
        <v>3</v>
      </c>
      <c r="G36" s="14" t="n">
        <v>2</v>
      </c>
      <c r="H36" s="17" t="n">
        <v>4</v>
      </c>
      <c r="I36" s="18" t="n">
        <f aca="false">AVERAGE(D36:H36)</f>
        <v>2.4</v>
      </c>
      <c r="J36" s="13" t="s">
        <v>178</v>
      </c>
      <c r="K36" s="13" t="s">
        <v>179</v>
      </c>
      <c r="L36" s="13" t="s">
        <v>180</v>
      </c>
    </row>
    <row r="37" customFormat="false" ht="94.5" hidden="false" customHeight="true" outlineLevel="0" collapsed="false">
      <c r="A37" s="12" t="n">
        <v>34</v>
      </c>
      <c r="B37" s="13" t="s">
        <v>128</v>
      </c>
      <c r="C37" s="13" t="s">
        <v>181</v>
      </c>
      <c r="D37" s="15" t="n">
        <v>1</v>
      </c>
      <c r="E37" s="15" t="n">
        <v>1</v>
      </c>
      <c r="F37" s="14" t="n">
        <v>2</v>
      </c>
      <c r="G37" s="14" t="n">
        <v>2</v>
      </c>
      <c r="H37" s="16" t="n">
        <v>3</v>
      </c>
      <c r="I37" s="18" t="n">
        <f aca="false">AVERAGE(D37:H37)</f>
        <v>1.8</v>
      </c>
      <c r="J37" s="13" t="s">
        <v>182</v>
      </c>
      <c r="K37" s="13" t="s">
        <v>183</v>
      </c>
      <c r="L37" s="13" t="s">
        <v>184</v>
      </c>
    </row>
    <row r="38" customFormat="false" ht="94.5" hidden="false" customHeight="true" outlineLevel="0" collapsed="false">
      <c r="A38" s="12" t="n">
        <v>35</v>
      </c>
      <c r="B38" s="13" t="s">
        <v>128</v>
      </c>
      <c r="C38" s="13" t="s">
        <v>185</v>
      </c>
      <c r="D38" s="14" t="n">
        <v>2</v>
      </c>
      <c r="E38" s="15" t="n">
        <v>1</v>
      </c>
      <c r="F38" s="16" t="n">
        <v>3</v>
      </c>
      <c r="G38" s="14" t="n">
        <v>2</v>
      </c>
      <c r="H38" s="16" t="n">
        <v>3</v>
      </c>
      <c r="I38" s="18" t="n">
        <f aca="false">AVERAGE(D38:H38)</f>
        <v>2.2</v>
      </c>
      <c r="J38" s="13" t="s">
        <v>186</v>
      </c>
      <c r="K38" s="13" t="s">
        <v>187</v>
      </c>
      <c r="L38" s="13" t="s">
        <v>188</v>
      </c>
    </row>
    <row r="39" customFormat="false" ht="94.5" hidden="false" customHeight="true" outlineLevel="0" collapsed="false">
      <c r="A39" s="12" t="n">
        <v>36</v>
      </c>
      <c r="B39" s="13" t="s">
        <v>128</v>
      </c>
      <c r="C39" s="13" t="s">
        <v>189</v>
      </c>
      <c r="D39" s="14" t="n">
        <v>2</v>
      </c>
      <c r="E39" s="15" t="n">
        <v>1</v>
      </c>
      <c r="F39" s="14" t="n">
        <v>2</v>
      </c>
      <c r="G39" s="14" t="n">
        <v>2</v>
      </c>
      <c r="H39" s="16" t="n">
        <v>3</v>
      </c>
      <c r="I39" s="18" t="n">
        <f aca="false">AVERAGE(D39:H39)</f>
        <v>2</v>
      </c>
      <c r="J39" s="13" t="s">
        <v>190</v>
      </c>
      <c r="K39" s="13" t="s">
        <v>191</v>
      </c>
      <c r="L39" s="13" t="s">
        <v>192</v>
      </c>
    </row>
    <row r="40" customFormat="false" ht="94.5" hidden="false" customHeight="true" outlineLevel="0" collapsed="false">
      <c r="A40" s="12" t="n">
        <v>37</v>
      </c>
      <c r="B40" s="13" t="s">
        <v>128</v>
      </c>
      <c r="C40" s="13" t="s">
        <v>193</v>
      </c>
      <c r="D40" s="14" t="n">
        <v>2</v>
      </c>
      <c r="E40" s="15" t="n">
        <v>1</v>
      </c>
      <c r="F40" s="16" t="n">
        <v>3</v>
      </c>
      <c r="G40" s="14" t="n">
        <v>2</v>
      </c>
      <c r="H40" s="16" t="n">
        <v>3</v>
      </c>
      <c r="I40" s="18" t="n">
        <f aca="false">AVERAGE(D40:H40)</f>
        <v>2.2</v>
      </c>
      <c r="J40" s="13" t="s">
        <v>194</v>
      </c>
      <c r="K40" s="13" t="s">
        <v>195</v>
      </c>
      <c r="L40" s="13" t="s">
        <v>196</v>
      </c>
    </row>
    <row r="41" customFormat="false" ht="94.5" hidden="false" customHeight="true" outlineLevel="0" collapsed="false">
      <c r="A41" s="12" t="n">
        <v>38</v>
      </c>
      <c r="B41" s="13" t="s">
        <v>128</v>
      </c>
      <c r="C41" s="13" t="s">
        <v>197</v>
      </c>
      <c r="D41" s="14" t="n">
        <v>2</v>
      </c>
      <c r="E41" s="14" t="n">
        <v>2</v>
      </c>
      <c r="F41" s="16" t="n">
        <v>3</v>
      </c>
      <c r="G41" s="16" t="n">
        <v>3</v>
      </c>
      <c r="H41" s="17" t="n">
        <v>4</v>
      </c>
      <c r="I41" s="18" t="n">
        <f aca="false">AVERAGE(D41:H41)</f>
        <v>2.8</v>
      </c>
      <c r="J41" s="13" t="s">
        <v>198</v>
      </c>
      <c r="K41" s="13" t="s">
        <v>199</v>
      </c>
      <c r="L41" s="13" t="s">
        <v>200</v>
      </c>
    </row>
    <row r="42" customFormat="false" ht="94.5" hidden="false" customHeight="true" outlineLevel="0" collapsed="false">
      <c r="A42" s="12" t="n">
        <v>39</v>
      </c>
      <c r="B42" s="13" t="s">
        <v>128</v>
      </c>
      <c r="C42" s="13" t="s">
        <v>201</v>
      </c>
      <c r="D42" s="14" t="n">
        <v>2</v>
      </c>
      <c r="E42" s="15" t="n">
        <v>1</v>
      </c>
      <c r="F42" s="16" t="n">
        <v>3</v>
      </c>
      <c r="G42" s="14" t="n">
        <v>2</v>
      </c>
      <c r="H42" s="17" t="n">
        <v>4</v>
      </c>
      <c r="I42" s="18" t="n">
        <f aca="false">AVERAGE(D42:H42)</f>
        <v>2.4</v>
      </c>
      <c r="J42" s="13" t="s">
        <v>202</v>
      </c>
      <c r="K42" s="13" t="s">
        <v>203</v>
      </c>
      <c r="L42" s="13" t="s">
        <v>204</v>
      </c>
    </row>
    <row r="43" customFormat="false" ht="94.5" hidden="false" customHeight="true" outlineLevel="0" collapsed="false">
      <c r="A43" s="12" t="n">
        <v>40</v>
      </c>
      <c r="B43" s="13" t="s">
        <v>128</v>
      </c>
      <c r="C43" s="13" t="s">
        <v>205</v>
      </c>
      <c r="D43" s="16" t="n">
        <v>3</v>
      </c>
      <c r="E43" s="14" t="n">
        <v>2</v>
      </c>
      <c r="F43" s="17" t="n">
        <v>4</v>
      </c>
      <c r="G43" s="16" t="n">
        <v>3</v>
      </c>
      <c r="H43" s="17" t="n">
        <v>4</v>
      </c>
      <c r="I43" s="18" t="n">
        <f aca="false">AVERAGE(D43:H43)</f>
        <v>3.2</v>
      </c>
      <c r="J43" s="13" t="s">
        <v>206</v>
      </c>
      <c r="K43" s="13" t="s">
        <v>207</v>
      </c>
      <c r="L43" s="13" t="s">
        <v>208</v>
      </c>
    </row>
    <row r="44" customFormat="false" ht="94.5" hidden="false" customHeight="true" outlineLevel="0" collapsed="false">
      <c r="A44" s="12" t="n">
        <v>41</v>
      </c>
      <c r="B44" s="13" t="s">
        <v>128</v>
      </c>
      <c r="C44" s="13" t="s">
        <v>209</v>
      </c>
      <c r="D44" s="14" t="n">
        <v>2</v>
      </c>
      <c r="E44" s="15" t="n">
        <v>1</v>
      </c>
      <c r="F44" s="16" t="n">
        <v>3</v>
      </c>
      <c r="G44" s="14" t="n">
        <v>2</v>
      </c>
      <c r="H44" s="16" t="n">
        <v>3</v>
      </c>
      <c r="I44" s="18" t="n">
        <f aca="false">AVERAGE(D44:H44)</f>
        <v>2.2</v>
      </c>
      <c r="J44" s="13" t="s">
        <v>210</v>
      </c>
      <c r="K44" s="13" t="s">
        <v>211</v>
      </c>
      <c r="L44" s="13" t="s">
        <v>212</v>
      </c>
    </row>
    <row r="45" customFormat="false" ht="94.5" hidden="false" customHeight="true" outlineLevel="0" collapsed="false">
      <c r="A45" s="12" t="n">
        <v>42</v>
      </c>
      <c r="B45" s="13" t="s">
        <v>128</v>
      </c>
      <c r="C45" s="13" t="s">
        <v>213</v>
      </c>
      <c r="D45" s="17" t="n">
        <v>4</v>
      </c>
      <c r="E45" s="16" t="n">
        <v>3</v>
      </c>
      <c r="F45" s="17" t="n">
        <v>4</v>
      </c>
      <c r="G45" s="16" t="n">
        <v>3</v>
      </c>
      <c r="H45" s="17" t="n">
        <v>4</v>
      </c>
      <c r="I45" s="18" t="n">
        <f aca="false">AVERAGE(D45:H45)</f>
        <v>3.6</v>
      </c>
      <c r="J45" s="13" t="s">
        <v>214</v>
      </c>
      <c r="K45" s="13" t="s">
        <v>215</v>
      </c>
      <c r="L45" s="13" t="s">
        <v>216</v>
      </c>
    </row>
    <row r="46" customFormat="false" ht="94.5" hidden="false" customHeight="true" outlineLevel="0" collapsed="false">
      <c r="A46" s="12" t="n">
        <v>43</v>
      </c>
      <c r="B46" s="13" t="s">
        <v>128</v>
      </c>
      <c r="C46" s="13" t="s">
        <v>217</v>
      </c>
      <c r="D46" s="14" t="n">
        <v>2</v>
      </c>
      <c r="E46" s="15" t="n">
        <v>1</v>
      </c>
      <c r="F46" s="16" t="n">
        <v>3</v>
      </c>
      <c r="G46" s="14" t="n">
        <v>2</v>
      </c>
      <c r="H46" s="17" t="n">
        <v>4</v>
      </c>
      <c r="I46" s="18" t="n">
        <f aca="false">AVERAGE(D46:H46)</f>
        <v>2.4</v>
      </c>
      <c r="J46" s="13" t="s">
        <v>218</v>
      </c>
      <c r="K46" s="13" t="s">
        <v>219</v>
      </c>
      <c r="L46" s="13" t="s">
        <v>220</v>
      </c>
    </row>
    <row r="47" customFormat="false" ht="15" hidden="false" customHeight="false" outlineLevel="0" collapsed="false">
      <c r="A47" s="19"/>
      <c r="B47" s="19"/>
      <c r="C47" s="20" t="s">
        <v>221</v>
      </c>
      <c r="D47" s="8" t="n">
        <f aca="false">AVERAGE(D4:D46)</f>
        <v>2.16279069767442</v>
      </c>
      <c r="E47" s="8" t="n">
        <f aca="false">AVERAGE(E4:E46)</f>
        <v>1.37209302325581</v>
      </c>
      <c r="F47" s="8" t="n">
        <f aca="false">AVERAGE(F4:F46)</f>
        <v>2.90697674418605</v>
      </c>
      <c r="G47" s="8" t="n">
        <f aca="false">AVERAGE(G4:G46)</f>
        <v>2.30232558139535</v>
      </c>
      <c r="H47" s="8" t="n">
        <f aca="false">AVERAGE(H4:H46)</f>
        <v>3.67441860465116</v>
      </c>
      <c r="I47" s="8" t="n">
        <f aca="false">AVERAGE(I4:I46)</f>
        <v>2.48372093023256</v>
      </c>
      <c r="J47" s="19"/>
      <c r="K47" s="19"/>
      <c r="L47" s="1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8"/>
    <col collapsed="false" customWidth="true" hidden="false" outlineLevel="0" max="3" min="3" style="0" width="42"/>
    <col collapsed="false" customWidth="true" hidden="false" outlineLevel="0" max="8" min="4" style="0" width="11"/>
    <col collapsed="false" customWidth="true" hidden="false" outlineLevel="0" max="9" min="9" style="0" width="9"/>
    <col collapsed="false" customWidth="true" hidden="false" outlineLevel="0" max="10" min="10" style="0" width="44"/>
    <col collapsed="false" customWidth="true" hidden="false" outlineLevel="0" max="12" min="11" style="0" width="70"/>
  </cols>
  <sheetData>
    <row r="1" customFormat="false" ht="19.5" hidden="false" customHeight="true" outlineLevel="0" collapsed="false">
      <c r="A1" s="1" t="s">
        <v>222</v>
      </c>
    </row>
    <row r="3" customFormat="false" ht="15" hidden="false" customHeight="false" outlineLevel="0" collapsed="false">
      <c r="A3" s="4" t="s">
        <v>39</v>
      </c>
      <c r="B3" s="4" t="s">
        <v>40</v>
      </c>
      <c r="C3" s="4" t="s">
        <v>41</v>
      </c>
      <c r="D3" s="4" t="s">
        <v>8</v>
      </c>
      <c r="E3" s="4" t="s">
        <v>9</v>
      </c>
      <c r="F3" s="4" t="s">
        <v>10</v>
      </c>
      <c r="G3" s="4" t="s">
        <v>11</v>
      </c>
      <c r="H3" s="4" t="s">
        <v>12</v>
      </c>
      <c r="I3" s="4" t="s">
        <v>42</v>
      </c>
      <c r="J3" s="4" t="s">
        <v>43</v>
      </c>
      <c r="K3" s="4" t="s">
        <v>223</v>
      </c>
      <c r="L3" s="4" t="s">
        <v>45</v>
      </c>
    </row>
    <row r="4" customFormat="false" ht="94.5" hidden="false" customHeight="true" outlineLevel="0" collapsed="false">
      <c r="A4" s="12" t="n">
        <v>1</v>
      </c>
      <c r="B4" s="13" t="s">
        <v>46</v>
      </c>
      <c r="C4" s="13" t="s">
        <v>47</v>
      </c>
      <c r="D4" s="16" t="n">
        <v>3</v>
      </c>
      <c r="E4" s="16" t="n">
        <v>3</v>
      </c>
      <c r="F4" s="17" t="n">
        <v>4</v>
      </c>
      <c r="G4" s="16" t="n">
        <v>3</v>
      </c>
      <c r="H4" s="17" t="n">
        <v>4</v>
      </c>
      <c r="I4" s="18" t="n">
        <f aca="false">AVERAGE(D4:H4)</f>
        <v>3.4</v>
      </c>
      <c r="J4" s="13" t="s">
        <v>48</v>
      </c>
      <c r="K4" s="13" t="s">
        <v>224</v>
      </c>
      <c r="L4" s="13" t="s">
        <v>50</v>
      </c>
    </row>
    <row r="5" customFormat="false" ht="94.5" hidden="false" customHeight="true" outlineLevel="0" collapsed="false">
      <c r="A5" s="12" t="n">
        <v>2</v>
      </c>
      <c r="B5" s="13" t="s">
        <v>46</v>
      </c>
      <c r="C5" s="13" t="s">
        <v>51</v>
      </c>
      <c r="D5" s="16" t="n">
        <v>3</v>
      </c>
      <c r="E5" s="16" t="n">
        <v>3</v>
      </c>
      <c r="F5" s="17" t="n">
        <v>4</v>
      </c>
      <c r="G5" s="16" t="n">
        <v>3</v>
      </c>
      <c r="H5" s="17" t="n">
        <v>4</v>
      </c>
      <c r="I5" s="18" t="n">
        <f aca="false">AVERAGE(D5:H5)</f>
        <v>3.4</v>
      </c>
      <c r="J5" s="13" t="s">
        <v>52</v>
      </c>
      <c r="K5" s="13" t="s">
        <v>225</v>
      </c>
      <c r="L5" s="13" t="s">
        <v>54</v>
      </c>
    </row>
    <row r="6" customFormat="false" ht="94.5" hidden="false" customHeight="true" outlineLevel="0" collapsed="false">
      <c r="A6" s="12" t="n">
        <v>3</v>
      </c>
      <c r="B6" s="13" t="s">
        <v>46</v>
      </c>
      <c r="C6" s="13" t="s">
        <v>55</v>
      </c>
      <c r="D6" s="17" t="n">
        <v>4</v>
      </c>
      <c r="E6" s="17" t="n">
        <v>4</v>
      </c>
      <c r="F6" s="17" t="n">
        <v>4</v>
      </c>
      <c r="G6" s="17" t="n">
        <v>4</v>
      </c>
      <c r="H6" s="17" t="n">
        <v>4</v>
      </c>
      <c r="I6" s="18" t="n">
        <f aca="false">AVERAGE(D6:H6)</f>
        <v>4</v>
      </c>
      <c r="J6" s="13" t="s">
        <v>56</v>
      </c>
      <c r="K6" s="13" t="s">
        <v>226</v>
      </c>
      <c r="L6" s="13" t="s">
        <v>58</v>
      </c>
    </row>
    <row r="7" customFormat="false" ht="94.5" hidden="false" customHeight="true" outlineLevel="0" collapsed="false">
      <c r="A7" s="12" t="n">
        <v>4</v>
      </c>
      <c r="B7" s="13" t="s">
        <v>46</v>
      </c>
      <c r="C7" s="13" t="s">
        <v>59</v>
      </c>
      <c r="D7" s="17" t="n">
        <v>4</v>
      </c>
      <c r="E7" s="16" t="n">
        <v>3</v>
      </c>
      <c r="F7" s="17" t="n">
        <v>4</v>
      </c>
      <c r="G7" s="17" t="n">
        <v>4</v>
      </c>
      <c r="H7" s="17" t="n">
        <v>4</v>
      </c>
      <c r="I7" s="18" t="n">
        <f aca="false">AVERAGE(D7:H7)</f>
        <v>3.8</v>
      </c>
      <c r="J7" s="13" t="s">
        <v>60</v>
      </c>
      <c r="K7" s="13" t="s">
        <v>227</v>
      </c>
      <c r="L7" s="13" t="s">
        <v>62</v>
      </c>
    </row>
    <row r="8" customFormat="false" ht="94.5" hidden="false" customHeight="true" outlineLevel="0" collapsed="false">
      <c r="A8" s="12" t="n">
        <v>5</v>
      </c>
      <c r="B8" s="13" t="s">
        <v>46</v>
      </c>
      <c r="C8" s="13" t="s">
        <v>63</v>
      </c>
      <c r="D8" s="16" t="n">
        <v>3</v>
      </c>
      <c r="E8" s="14" t="n">
        <v>2</v>
      </c>
      <c r="F8" s="16" t="n">
        <v>3</v>
      </c>
      <c r="G8" s="16" t="n">
        <v>3</v>
      </c>
      <c r="H8" s="17" t="n">
        <v>4</v>
      </c>
      <c r="I8" s="18" t="n">
        <f aca="false">AVERAGE(D8:H8)</f>
        <v>3</v>
      </c>
      <c r="J8" s="13" t="s">
        <v>64</v>
      </c>
      <c r="K8" s="13" t="s">
        <v>228</v>
      </c>
      <c r="L8" s="13" t="s">
        <v>66</v>
      </c>
    </row>
    <row r="9" customFormat="false" ht="94.5" hidden="false" customHeight="true" outlineLevel="0" collapsed="false">
      <c r="A9" s="12" t="n">
        <v>6</v>
      </c>
      <c r="B9" s="13" t="s">
        <v>46</v>
      </c>
      <c r="C9" s="13" t="s">
        <v>67</v>
      </c>
      <c r="D9" s="17" t="n">
        <v>4</v>
      </c>
      <c r="E9" s="17" t="n">
        <v>4</v>
      </c>
      <c r="F9" s="17" t="n">
        <v>4</v>
      </c>
      <c r="G9" s="17" t="n">
        <v>4</v>
      </c>
      <c r="H9" s="17" t="n">
        <v>4</v>
      </c>
      <c r="I9" s="18" t="n">
        <f aca="false">AVERAGE(D9:H9)</f>
        <v>4</v>
      </c>
      <c r="J9" s="13" t="s">
        <v>68</v>
      </c>
      <c r="K9" s="13" t="s">
        <v>229</v>
      </c>
      <c r="L9" s="13" t="s">
        <v>70</v>
      </c>
    </row>
    <row r="10" customFormat="false" ht="94.5" hidden="false" customHeight="true" outlineLevel="0" collapsed="false">
      <c r="A10" s="12" t="n">
        <v>7</v>
      </c>
      <c r="B10" s="13" t="s">
        <v>46</v>
      </c>
      <c r="C10" s="13" t="s">
        <v>71</v>
      </c>
      <c r="D10" s="17" t="n">
        <v>4</v>
      </c>
      <c r="E10" s="17" t="n">
        <v>4</v>
      </c>
      <c r="F10" s="17" t="n">
        <v>4</v>
      </c>
      <c r="G10" s="16" t="n">
        <v>3</v>
      </c>
      <c r="H10" s="17" t="n">
        <v>4</v>
      </c>
      <c r="I10" s="18" t="n">
        <f aca="false">AVERAGE(D10:H10)</f>
        <v>3.8</v>
      </c>
      <c r="J10" s="13" t="s">
        <v>72</v>
      </c>
      <c r="K10" s="13" t="s">
        <v>230</v>
      </c>
      <c r="L10" s="13" t="s">
        <v>74</v>
      </c>
    </row>
    <row r="11" customFormat="false" ht="94.5" hidden="false" customHeight="true" outlineLevel="0" collapsed="false">
      <c r="A11" s="12" t="n">
        <v>8</v>
      </c>
      <c r="B11" s="13" t="s">
        <v>46</v>
      </c>
      <c r="C11" s="13" t="s">
        <v>75</v>
      </c>
      <c r="D11" s="17" t="n">
        <v>4</v>
      </c>
      <c r="E11" s="16" t="n">
        <v>3</v>
      </c>
      <c r="F11" s="17" t="n">
        <v>4</v>
      </c>
      <c r="G11" s="17" t="n">
        <v>4</v>
      </c>
      <c r="H11" s="17" t="n">
        <v>4</v>
      </c>
      <c r="I11" s="18" t="n">
        <f aca="false">AVERAGE(D11:H11)</f>
        <v>3.8</v>
      </c>
      <c r="J11" s="13" t="s">
        <v>76</v>
      </c>
      <c r="K11" s="13" t="s">
        <v>231</v>
      </c>
      <c r="L11" s="13" t="s">
        <v>78</v>
      </c>
    </row>
    <row r="12" customFormat="false" ht="94.5" hidden="false" customHeight="true" outlineLevel="0" collapsed="false">
      <c r="A12" s="12" t="n">
        <v>9</v>
      </c>
      <c r="B12" s="13" t="s">
        <v>46</v>
      </c>
      <c r="C12" s="13" t="s">
        <v>79</v>
      </c>
      <c r="D12" s="16" t="n">
        <v>3</v>
      </c>
      <c r="E12" s="16" t="n">
        <v>3</v>
      </c>
      <c r="F12" s="16" t="n">
        <v>3</v>
      </c>
      <c r="G12" s="16" t="n">
        <v>3</v>
      </c>
      <c r="H12" s="17" t="n">
        <v>4</v>
      </c>
      <c r="I12" s="18" t="n">
        <f aca="false">AVERAGE(D12:H12)</f>
        <v>3.2</v>
      </c>
      <c r="J12" s="13" t="s">
        <v>80</v>
      </c>
      <c r="K12" s="13" t="s">
        <v>232</v>
      </c>
      <c r="L12" s="13" t="s">
        <v>82</v>
      </c>
    </row>
    <row r="13" customFormat="false" ht="94.5" hidden="false" customHeight="true" outlineLevel="0" collapsed="false">
      <c r="A13" s="12" t="n">
        <v>10</v>
      </c>
      <c r="B13" s="13" t="s">
        <v>46</v>
      </c>
      <c r="C13" s="13" t="s">
        <v>83</v>
      </c>
      <c r="D13" s="16" t="n">
        <v>3</v>
      </c>
      <c r="E13" s="16" t="n">
        <v>3</v>
      </c>
      <c r="F13" s="17" t="n">
        <v>4</v>
      </c>
      <c r="G13" s="16" t="n">
        <v>3</v>
      </c>
      <c r="H13" s="17" t="n">
        <v>4</v>
      </c>
      <c r="I13" s="18" t="n">
        <f aca="false">AVERAGE(D13:H13)</f>
        <v>3.4</v>
      </c>
      <c r="J13" s="13" t="s">
        <v>84</v>
      </c>
      <c r="K13" s="13" t="s">
        <v>233</v>
      </c>
      <c r="L13" s="13" t="s">
        <v>86</v>
      </c>
    </row>
    <row r="14" customFormat="false" ht="94.5" hidden="false" customHeight="true" outlineLevel="0" collapsed="false">
      <c r="A14" s="12" t="n">
        <v>11</v>
      </c>
      <c r="B14" s="13" t="s">
        <v>46</v>
      </c>
      <c r="C14" s="13" t="s">
        <v>87</v>
      </c>
      <c r="D14" s="17" t="n">
        <v>4</v>
      </c>
      <c r="E14" s="17" t="n">
        <v>4</v>
      </c>
      <c r="F14" s="17" t="n">
        <v>4</v>
      </c>
      <c r="G14" s="17" t="n">
        <v>4</v>
      </c>
      <c r="H14" s="17" t="n">
        <v>4</v>
      </c>
      <c r="I14" s="18" t="n">
        <f aca="false">AVERAGE(D14:H14)</f>
        <v>4</v>
      </c>
      <c r="J14" s="13" t="s">
        <v>88</v>
      </c>
      <c r="K14" s="13" t="s">
        <v>234</v>
      </c>
      <c r="L14" s="13" t="s">
        <v>90</v>
      </c>
    </row>
    <row r="15" customFormat="false" ht="94.5" hidden="false" customHeight="true" outlineLevel="0" collapsed="false">
      <c r="A15" s="12" t="n">
        <v>12</v>
      </c>
      <c r="B15" s="13" t="s">
        <v>46</v>
      </c>
      <c r="C15" s="13" t="s">
        <v>91</v>
      </c>
      <c r="D15" s="14" t="n">
        <v>2</v>
      </c>
      <c r="E15" s="15" t="n">
        <v>1</v>
      </c>
      <c r="F15" s="14" t="n">
        <v>2</v>
      </c>
      <c r="G15" s="14" t="n">
        <v>2</v>
      </c>
      <c r="H15" s="16" t="n">
        <v>3</v>
      </c>
      <c r="I15" s="18" t="n">
        <f aca="false">AVERAGE(D15:H15)</f>
        <v>2</v>
      </c>
      <c r="J15" s="13" t="s">
        <v>92</v>
      </c>
      <c r="K15" s="13" t="s">
        <v>235</v>
      </c>
      <c r="L15" s="13" t="s">
        <v>94</v>
      </c>
    </row>
    <row r="16" customFormat="false" ht="94.5" hidden="false" customHeight="true" outlineLevel="0" collapsed="false">
      <c r="A16" s="12" t="n">
        <v>13</v>
      </c>
      <c r="B16" s="13" t="s">
        <v>95</v>
      </c>
      <c r="C16" s="13" t="s">
        <v>96</v>
      </c>
      <c r="D16" s="16" t="n">
        <v>3</v>
      </c>
      <c r="E16" s="14" t="n">
        <v>2</v>
      </c>
      <c r="F16" s="16" t="n">
        <v>3</v>
      </c>
      <c r="G16" s="16" t="n">
        <v>3</v>
      </c>
      <c r="H16" s="17" t="n">
        <v>4</v>
      </c>
      <c r="I16" s="18" t="n">
        <f aca="false">AVERAGE(D16:H16)</f>
        <v>3</v>
      </c>
      <c r="J16" s="13" t="s">
        <v>97</v>
      </c>
      <c r="K16" s="13" t="s">
        <v>236</v>
      </c>
      <c r="L16" s="13" t="s">
        <v>99</v>
      </c>
    </row>
    <row r="17" customFormat="false" ht="94.5" hidden="false" customHeight="true" outlineLevel="0" collapsed="false">
      <c r="A17" s="12" t="n">
        <v>14</v>
      </c>
      <c r="B17" s="13" t="s">
        <v>95</v>
      </c>
      <c r="C17" s="13" t="s">
        <v>100</v>
      </c>
      <c r="D17" s="21" t="n">
        <v>5</v>
      </c>
      <c r="E17" s="21" t="n">
        <v>5</v>
      </c>
      <c r="F17" s="21" t="n">
        <v>5</v>
      </c>
      <c r="G17" s="17" t="n">
        <v>4</v>
      </c>
      <c r="H17" s="21" t="n">
        <v>5</v>
      </c>
      <c r="I17" s="18" t="n">
        <f aca="false">AVERAGE(D17:H17)</f>
        <v>4.8</v>
      </c>
      <c r="J17" s="13" t="s">
        <v>101</v>
      </c>
      <c r="K17" s="13" t="s">
        <v>237</v>
      </c>
      <c r="L17" s="13" t="s">
        <v>103</v>
      </c>
    </row>
    <row r="18" customFormat="false" ht="94.5" hidden="false" customHeight="true" outlineLevel="0" collapsed="false">
      <c r="A18" s="12" t="n">
        <v>15</v>
      </c>
      <c r="B18" s="13" t="s">
        <v>95</v>
      </c>
      <c r="C18" s="13" t="s">
        <v>104</v>
      </c>
      <c r="D18" s="17" t="n">
        <v>4</v>
      </c>
      <c r="E18" s="16" t="n">
        <v>3</v>
      </c>
      <c r="F18" s="17" t="n">
        <v>4</v>
      </c>
      <c r="G18" s="17" t="n">
        <v>4</v>
      </c>
      <c r="H18" s="17" t="n">
        <v>4</v>
      </c>
      <c r="I18" s="18" t="n">
        <f aca="false">AVERAGE(D18:H18)</f>
        <v>3.8</v>
      </c>
      <c r="J18" s="13" t="s">
        <v>105</v>
      </c>
      <c r="K18" s="13" t="s">
        <v>238</v>
      </c>
      <c r="L18" s="13" t="s">
        <v>107</v>
      </c>
    </row>
    <row r="19" customFormat="false" ht="94.5" hidden="false" customHeight="true" outlineLevel="0" collapsed="false">
      <c r="A19" s="12" t="n">
        <v>16</v>
      </c>
      <c r="B19" s="13" t="s">
        <v>95</v>
      </c>
      <c r="C19" s="13" t="s">
        <v>108</v>
      </c>
      <c r="D19" s="21" t="n">
        <v>5</v>
      </c>
      <c r="E19" s="21" t="n">
        <v>5</v>
      </c>
      <c r="F19" s="21" t="n">
        <v>5</v>
      </c>
      <c r="G19" s="21" t="n">
        <v>5</v>
      </c>
      <c r="H19" s="21" t="n">
        <v>5</v>
      </c>
      <c r="I19" s="18" t="n">
        <f aca="false">AVERAGE(D19:H19)</f>
        <v>5</v>
      </c>
      <c r="J19" s="13" t="s">
        <v>109</v>
      </c>
      <c r="K19" s="13" t="s">
        <v>239</v>
      </c>
      <c r="L19" s="13" t="s">
        <v>111</v>
      </c>
    </row>
    <row r="20" customFormat="false" ht="94.5" hidden="false" customHeight="true" outlineLevel="0" collapsed="false">
      <c r="A20" s="12" t="n">
        <v>17</v>
      </c>
      <c r="B20" s="13" t="s">
        <v>95</v>
      </c>
      <c r="C20" s="13" t="s">
        <v>112</v>
      </c>
      <c r="D20" s="16" t="n">
        <v>3</v>
      </c>
      <c r="E20" s="14" t="n">
        <v>2</v>
      </c>
      <c r="F20" s="16" t="n">
        <v>3</v>
      </c>
      <c r="G20" s="16" t="n">
        <v>3</v>
      </c>
      <c r="H20" s="17" t="n">
        <v>4</v>
      </c>
      <c r="I20" s="18" t="n">
        <f aca="false">AVERAGE(D20:H20)</f>
        <v>3</v>
      </c>
      <c r="J20" s="13" t="s">
        <v>113</v>
      </c>
      <c r="K20" s="13" t="s">
        <v>240</v>
      </c>
      <c r="L20" s="13" t="s">
        <v>115</v>
      </c>
    </row>
    <row r="21" customFormat="false" ht="94.5" hidden="false" customHeight="true" outlineLevel="0" collapsed="false">
      <c r="A21" s="12" t="n">
        <v>18</v>
      </c>
      <c r="B21" s="13" t="s">
        <v>95</v>
      </c>
      <c r="C21" s="13" t="s">
        <v>116</v>
      </c>
      <c r="D21" s="16" t="n">
        <v>3</v>
      </c>
      <c r="E21" s="16" t="n">
        <v>3</v>
      </c>
      <c r="F21" s="16" t="n">
        <v>3</v>
      </c>
      <c r="G21" s="16" t="n">
        <v>3</v>
      </c>
      <c r="H21" s="17" t="n">
        <v>4</v>
      </c>
      <c r="I21" s="18" t="n">
        <f aca="false">AVERAGE(D21:H21)</f>
        <v>3.2</v>
      </c>
      <c r="J21" s="13" t="s">
        <v>117</v>
      </c>
      <c r="K21" s="13" t="s">
        <v>241</v>
      </c>
      <c r="L21" s="13" t="s">
        <v>119</v>
      </c>
    </row>
    <row r="22" customFormat="false" ht="94.5" hidden="false" customHeight="true" outlineLevel="0" collapsed="false">
      <c r="A22" s="12" t="n">
        <v>19</v>
      </c>
      <c r="B22" s="13" t="s">
        <v>95</v>
      </c>
      <c r="C22" s="13" t="s">
        <v>120</v>
      </c>
      <c r="D22" s="16" t="n">
        <v>3</v>
      </c>
      <c r="E22" s="16" t="n">
        <v>3</v>
      </c>
      <c r="F22" s="16" t="n">
        <v>3</v>
      </c>
      <c r="G22" s="16" t="n">
        <v>3</v>
      </c>
      <c r="H22" s="17" t="n">
        <v>4</v>
      </c>
      <c r="I22" s="18" t="n">
        <f aca="false">AVERAGE(D22:H22)</f>
        <v>3.2</v>
      </c>
      <c r="J22" s="13" t="s">
        <v>121</v>
      </c>
      <c r="K22" s="13" t="s">
        <v>242</v>
      </c>
      <c r="L22" s="13" t="s">
        <v>123</v>
      </c>
    </row>
    <row r="23" customFormat="false" ht="94.5" hidden="false" customHeight="true" outlineLevel="0" collapsed="false">
      <c r="A23" s="12" t="n">
        <v>20</v>
      </c>
      <c r="B23" s="13" t="s">
        <v>95</v>
      </c>
      <c r="C23" s="13" t="s">
        <v>124</v>
      </c>
      <c r="D23" s="16" t="n">
        <v>3</v>
      </c>
      <c r="E23" s="16" t="n">
        <v>3</v>
      </c>
      <c r="F23" s="17" t="n">
        <v>4</v>
      </c>
      <c r="G23" s="16" t="n">
        <v>3</v>
      </c>
      <c r="H23" s="17" t="n">
        <v>4</v>
      </c>
      <c r="I23" s="18" t="n">
        <f aca="false">AVERAGE(D23:H23)</f>
        <v>3.4</v>
      </c>
      <c r="J23" s="13" t="s">
        <v>125</v>
      </c>
      <c r="K23" s="13" t="s">
        <v>243</v>
      </c>
      <c r="L23" s="13" t="s">
        <v>127</v>
      </c>
    </row>
    <row r="24" customFormat="false" ht="94.5" hidden="false" customHeight="true" outlineLevel="0" collapsed="false">
      <c r="A24" s="12" t="n">
        <v>21</v>
      </c>
      <c r="B24" s="13" t="s">
        <v>128</v>
      </c>
      <c r="C24" s="13" t="s">
        <v>129</v>
      </c>
      <c r="D24" s="21" t="n">
        <v>5</v>
      </c>
      <c r="E24" s="21" t="n">
        <v>5</v>
      </c>
      <c r="F24" s="21" t="n">
        <v>5</v>
      </c>
      <c r="G24" s="21" t="n">
        <v>5</v>
      </c>
      <c r="H24" s="21" t="n">
        <v>5</v>
      </c>
      <c r="I24" s="18" t="n">
        <f aca="false">AVERAGE(D24:H24)</f>
        <v>5</v>
      </c>
      <c r="J24" s="13" t="s">
        <v>130</v>
      </c>
      <c r="K24" s="13" t="s">
        <v>244</v>
      </c>
      <c r="L24" s="13" t="s">
        <v>132</v>
      </c>
    </row>
    <row r="25" customFormat="false" ht="94.5" hidden="false" customHeight="true" outlineLevel="0" collapsed="false">
      <c r="A25" s="12" t="n">
        <v>22</v>
      </c>
      <c r="B25" s="13" t="s">
        <v>128</v>
      </c>
      <c r="C25" s="13" t="s">
        <v>133</v>
      </c>
      <c r="D25" s="21" t="n">
        <v>5</v>
      </c>
      <c r="E25" s="17" t="n">
        <v>4</v>
      </c>
      <c r="F25" s="21" t="n">
        <v>5</v>
      </c>
      <c r="G25" s="21" t="n">
        <v>5</v>
      </c>
      <c r="H25" s="21" t="n">
        <v>5</v>
      </c>
      <c r="I25" s="18" t="n">
        <f aca="false">AVERAGE(D25:H25)</f>
        <v>4.8</v>
      </c>
      <c r="J25" s="13" t="s">
        <v>134</v>
      </c>
      <c r="K25" s="13" t="s">
        <v>245</v>
      </c>
      <c r="L25" s="13" t="s">
        <v>136</v>
      </c>
    </row>
    <row r="26" customFormat="false" ht="94.5" hidden="false" customHeight="true" outlineLevel="0" collapsed="false">
      <c r="A26" s="12" t="n">
        <v>23</v>
      </c>
      <c r="B26" s="13" t="s">
        <v>128</v>
      </c>
      <c r="C26" s="13" t="s">
        <v>137</v>
      </c>
      <c r="D26" s="21" t="n">
        <v>5</v>
      </c>
      <c r="E26" s="17" t="n">
        <v>4</v>
      </c>
      <c r="F26" s="21" t="n">
        <v>5</v>
      </c>
      <c r="G26" s="21" t="n">
        <v>5</v>
      </c>
      <c r="H26" s="21" t="n">
        <v>5</v>
      </c>
      <c r="I26" s="18" t="n">
        <f aca="false">AVERAGE(D26:H26)</f>
        <v>4.8</v>
      </c>
      <c r="J26" s="13" t="s">
        <v>138</v>
      </c>
      <c r="K26" s="13" t="s">
        <v>246</v>
      </c>
      <c r="L26" s="13" t="s">
        <v>140</v>
      </c>
    </row>
    <row r="27" customFormat="false" ht="94.5" hidden="false" customHeight="true" outlineLevel="0" collapsed="false">
      <c r="A27" s="12" t="n">
        <v>24</v>
      </c>
      <c r="B27" s="13" t="s">
        <v>128</v>
      </c>
      <c r="C27" s="13" t="s">
        <v>141</v>
      </c>
      <c r="D27" s="21" t="n">
        <v>5</v>
      </c>
      <c r="E27" s="17" t="n">
        <v>4</v>
      </c>
      <c r="F27" s="21" t="n">
        <v>5</v>
      </c>
      <c r="G27" s="17" t="n">
        <v>4</v>
      </c>
      <c r="H27" s="21" t="n">
        <v>5</v>
      </c>
      <c r="I27" s="18" t="n">
        <f aca="false">AVERAGE(D27:H27)</f>
        <v>4.6</v>
      </c>
      <c r="J27" s="13" t="s">
        <v>142</v>
      </c>
      <c r="K27" s="13" t="s">
        <v>247</v>
      </c>
      <c r="L27" s="13" t="s">
        <v>144</v>
      </c>
    </row>
    <row r="28" customFormat="false" ht="94.5" hidden="false" customHeight="true" outlineLevel="0" collapsed="false">
      <c r="A28" s="12" t="n">
        <v>25</v>
      </c>
      <c r="B28" s="13" t="s">
        <v>128</v>
      </c>
      <c r="C28" s="13" t="s">
        <v>145</v>
      </c>
      <c r="D28" s="21" t="n">
        <v>5</v>
      </c>
      <c r="E28" s="17" t="n">
        <v>4</v>
      </c>
      <c r="F28" s="21" t="n">
        <v>5</v>
      </c>
      <c r="G28" s="21" t="n">
        <v>5</v>
      </c>
      <c r="H28" s="21" t="n">
        <v>5</v>
      </c>
      <c r="I28" s="18" t="n">
        <f aca="false">AVERAGE(D28:H28)</f>
        <v>4.8</v>
      </c>
      <c r="J28" s="13" t="s">
        <v>146</v>
      </c>
      <c r="K28" s="13" t="s">
        <v>248</v>
      </c>
      <c r="L28" s="13" t="s">
        <v>148</v>
      </c>
    </row>
    <row r="29" customFormat="false" ht="94.5" hidden="false" customHeight="true" outlineLevel="0" collapsed="false">
      <c r="A29" s="12" t="n">
        <v>26</v>
      </c>
      <c r="B29" s="13" t="s">
        <v>128</v>
      </c>
      <c r="C29" s="13" t="s">
        <v>149</v>
      </c>
      <c r="D29" s="17" t="n">
        <v>4</v>
      </c>
      <c r="E29" s="16" t="n">
        <v>3</v>
      </c>
      <c r="F29" s="17" t="n">
        <v>4</v>
      </c>
      <c r="G29" s="17" t="n">
        <v>4</v>
      </c>
      <c r="H29" s="17" t="n">
        <v>4</v>
      </c>
      <c r="I29" s="18" t="n">
        <f aca="false">AVERAGE(D29:H29)</f>
        <v>3.8</v>
      </c>
      <c r="J29" s="13" t="s">
        <v>150</v>
      </c>
      <c r="K29" s="13" t="s">
        <v>249</v>
      </c>
      <c r="L29" s="13" t="s">
        <v>152</v>
      </c>
    </row>
    <row r="30" customFormat="false" ht="94.5" hidden="false" customHeight="true" outlineLevel="0" collapsed="false">
      <c r="A30" s="12" t="n">
        <v>27</v>
      </c>
      <c r="B30" s="13" t="s">
        <v>128</v>
      </c>
      <c r="C30" s="13" t="s">
        <v>153</v>
      </c>
      <c r="D30" s="21" t="n">
        <v>5</v>
      </c>
      <c r="E30" s="21" t="n">
        <v>5</v>
      </c>
      <c r="F30" s="21" t="n">
        <v>5</v>
      </c>
      <c r="G30" s="17" t="n">
        <v>4</v>
      </c>
      <c r="H30" s="21" t="n">
        <v>5</v>
      </c>
      <c r="I30" s="18" t="n">
        <f aca="false">AVERAGE(D30:H30)</f>
        <v>4.8</v>
      </c>
      <c r="J30" s="13" t="s">
        <v>154</v>
      </c>
      <c r="K30" s="13" t="s">
        <v>250</v>
      </c>
      <c r="L30" s="13" t="s">
        <v>156</v>
      </c>
    </row>
    <row r="31" customFormat="false" ht="94.5" hidden="false" customHeight="true" outlineLevel="0" collapsed="false">
      <c r="A31" s="12" t="n">
        <v>28</v>
      </c>
      <c r="B31" s="13" t="s">
        <v>128</v>
      </c>
      <c r="C31" s="13" t="s">
        <v>157</v>
      </c>
      <c r="D31" s="21" t="n">
        <v>5</v>
      </c>
      <c r="E31" s="21" t="n">
        <v>5</v>
      </c>
      <c r="F31" s="21" t="n">
        <v>5</v>
      </c>
      <c r="G31" s="17" t="n">
        <v>4</v>
      </c>
      <c r="H31" s="21" t="n">
        <v>5</v>
      </c>
      <c r="I31" s="18" t="n">
        <f aca="false">AVERAGE(D31:H31)</f>
        <v>4.8</v>
      </c>
      <c r="J31" s="13" t="s">
        <v>158</v>
      </c>
      <c r="K31" s="13" t="s">
        <v>251</v>
      </c>
      <c r="L31" s="13" t="s">
        <v>160</v>
      </c>
    </row>
    <row r="32" customFormat="false" ht="94.5" hidden="false" customHeight="true" outlineLevel="0" collapsed="false">
      <c r="A32" s="12" t="n">
        <v>29</v>
      </c>
      <c r="B32" s="13" t="s">
        <v>128</v>
      </c>
      <c r="C32" s="13" t="s">
        <v>161</v>
      </c>
      <c r="D32" s="21" t="n">
        <v>5</v>
      </c>
      <c r="E32" s="21" t="n">
        <v>5</v>
      </c>
      <c r="F32" s="21" t="n">
        <v>5</v>
      </c>
      <c r="G32" s="21" t="n">
        <v>5</v>
      </c>
      <c r="H32" s="21" t="n">
        <v>5</v>
      </c>
      <c r="I32" s="18" t="n">
        <f aca="false">AVERAGE(D32:H32)</f>
        <v>5</v>
      </c>
      <c r="J32" s="13" t="s">
        <v>162</v>
      </c>
      <c r="K32" s="13" t="s">
        <v>252</v>
      </c>
      <c r="L32" s="13" t="s">
        <v>164</v>
      </c>
    </row>
    <row r="33" customFormat="false" ht="94.5" hidden="false" customHeight="true" outlineLevel="0" collapsed="false">
      <c r="A33" s="12" t="n">
        <v>30</v>
      </c>
      <c r="B33" s="13" t="s">
        <v>128</v>
      </c>
      <c r="C33" s="13" t="s">
        <v>165</v>
      </c>
      <c r="D33" s="14" t="n">
        <v>2</v>
      </c>
      <c r="E33" s="14" t="n">
        <v>2</v>
      </c>
      <c r="F33" s="14" t="n">
        <v>2</v>
      </c>
      <c r="G33" s="14" t="n">
        <v>2</v>
      </c>
      <c r="H33" s="16" t="n">
        <v>3</v>
      </c>
      <c r="I33" s="18" t="n">
        <f aca="false">AVERAGE(D33:H33)</f>
        <v>2.2</v>
      </c>
      <c r="J33" s="13" t="s">
        <v>166</v>
      </c>
      <c r="K33" s="13" t="s">
        <v>253</v>
      </c>
      <c r="L33" s="13" t="s">
        <v>168</v>
      </c>
    </row>
    <row r="34" customFormat="false" ht="94.5" hidden="false" customHeight="true" outlineLevel="0" collapsed="false">
      <c r="A34" s="12" t="n">
        <v>31</v>
      </c>
      <c r="B34" s="13" t="s">
        <v>128</v>
      </c>
      <c r="C34" s="13" t="s">
        <v>169</v>
      </c>
      <c r="D34" s="21" t="n">
        <v>5</v>
      </c>
      <c r="E34" s="17" t="n">
        <v>4</v>
      </c>
      <c r="F34" s="21" t="n">
        <v>5</v>
      </c>
      <c r="G34" s="21" t="n">
        <v>5</v>
      </c>
      <c r="H34" s="21" t="n">
        <v>5</v>
      </c>
      <c r="I34" s="18" t="n">
        <f aca="false">AVERAGE(D34:H34)</f>
        <v>4.8</v>
      </c>
      <c r="J34" s="13" t="s">
        <v>170</v>
      </c>
      <c r="K34" s="13" t="s">
        <v>254</v>
      </c>
      <c r="L34" s="13" t="s">
        <v>172</v>
      </c>
    </row>
    <row r="35" customFormat="false" ht="94.5" hidden="false" customHeight="true" outlineLevel="0" collapsed="false">
      <c r="A35" s="12" t="n">
        <v>32</v>
      </c>
      <c r="B35" s="13" t="s">
        <v>128</v>
      </c>
      <c r="C35" s="13" t="s">
        <v>173</v>
      </c>
      <c r="D35" s="21" t="n">
        <v>5</v>
      </c>
      <c r="E35" s="21" t="n">
        <v>5</v>
      </c>
      <c r="F35" s="21" t="n">
        <v>5</v>
      </c>
      <c r="G35" s="17" t="n">
        <v>4</v>
      </c>
      <c r="H35" s="21" t="n">
        <v>5</v>
      </c>
      <c r="I35" s="18" t="n">
        <f aca="false">AVERAGE(D35:H35)</f>
        <v>4.8</v>
      </c>
      <c r="J35" s="13" t="s">
        <v>174</v>
      </c>
      <c r="K35" s="13" t="s">
        <v>255</v>
      </c>
      <c r="L35" s="13" t="s">
        <v>176</v>
      </c>
    </row>
    <row r="36" customFormat="false" ht="94.5" hidden="false" customHeight="true" outlineLevel="0" collapsed="false">
      <c r="A36" s="12" t="n">
        <v>33</v>
      </c>
      <c r="B36" s="13" t="s">
        <v>128</v>
      </c>
      <c r="C36" s="13" t="s">
        <v>177</v>
      </c>
      <c r="D36" s="21" t="n">
        <v>5</v>
      </c>
      <c r="E36" s="21" t="n">
        <v>5</v>
      </c>
      <c r="F36" s="21" t="n">
        <v>5</v>
      </c>
      <c r="G36" s="17" t="n">
        <v>4</v>
      </c>
      <c r="H36" s="21" t="n">
        <v>5</v>
      </c>
      <c r="I36" s="18" t="n">
        <f aca="false">AVERAGE(D36:H36)</f>
        <v>4.8</v>
      </c>
      <c r="J36" s="13" t="s">
        <v>178</v>
      </c>
      <c r="K36" s="13" t="s">
        <v>256</v>
      </c>
      <c r="L36" s="13" t="s">
        <v>180</v>
      </c>
    </row>
    <row r="37" customFormat="false" ht="94.5" hidden="false" customHeight="true" outlineLevel="0" collapsed="false">
      <c r="A37" s="12" t="n">
        <v>34</v>
      </c>
      <c r="B37" s="13" t="s">
        <v>128</v>
      </c>
      <c r="C37" s="13" t="s">
        <v>181</v>
      </c>
      <c r="D37" s="14" t="n">
        <v>2</v>
      </c>
      <c r="E37" s="14" t="n">
        <v>2</v>
      </c>
      <c r="F37" s="14" t="n">
        <v>2</v>
      </c>
      <c r="G37" s="14" t="n">
        <v>2</v>
      </c>
      <c r="H37" s="17" t="n">
        <v>4</v>
      </c>
      <c r="I37" s="18" t="n">
        <f aca="false">AVERAGE(D37:H37)</f>
        <v>2.4</v>
      </c>
      <c r="J37" s="13" t="s">
        <v>182</v>
      </c>
      <c r="K37" s="13" t="s">
        <v>257</v>
      </c>
      <c r="L37" s="13" t="s">
        <v>184</v>
      </c>
    </row>
    <row r="38" customFormat="false" ht="94.5" hidden="false" customHeight="true" outlineLevel="0" collapsed="false">
      <c r="A38" s="12" t="n">
        <v>35</v>
      </c>
      <c r="B38" s="13" t="s">
        <v>128</v>
      </c>
      <c r="C38" s="13" t="s">
        <v>185</v>
      </c>
      <c r="D38" s="21" t="n">
        <v>5</v>
      </c>
      <c r="E38" s="21" t="n">
        <v>5</v>
      </c>
      <c r="F38" s="21" t="n">
        <v>5</v>
      </c>
      <c r="G38" s="17" t="n">
        <v>4</v>
      </c>
      <c r="H38" s="21" t="n">
        <v>5</v>
      </c>
      <c r="I38" s="18" t="n">
        <f aca="false">AVERAGE(D38:H38)</f>
        <v>4.8</v>
      </c>
      <c r="J38" s="13" t="s">
        <v>186</v>
      </c>
      <c r="K38" s="13" t="s">
        <v>258</v>
      </c>
      <c r="L38" s="13" t="s">
        <v>188</v>
      </c>
    </row>
    <row r="39" customFormat="false" ht="94.5" hidden="false" customHeight="true" outlineLevel="0" collapsed="false">
      <c r="A39" s="12" t="n">
        <v>36</v>
      </c>
      <c r="B39" s="13" t="s">
        <v>128</v>
      </c>
      <c r="C39" s="13" t="s">
        <v>189</v>
      </c>
      <c r="D39" s="21" t="n">
        <v>5</v>
      </c>
      <c r="E39" s="17" t="n">
        <v>4</v>
      </c>
      <c r="F39" s="21" t="n">
        <v>5</v>
      </c>
      <c r="G39" s="17" t="n">
        <v>4</v>
      </c>
      <c r="H39" s="21" t="n">
        <v>5</v>
      </c>
      <c r="I39" s="18" t="n">
        <f aca="false">AVERAGE(D39:H39)</f>
        <v>4.6</v>
      </c>
      <c r="J39" s="13" t="s">
        <v>190</v>
      </c>
      <c r="K39" s="13" t="s">
        <v>192</v>
      </c>
      <c r="L39" s="13" t="s">
        <v>192</v>
      </c>
    </row>
    <row r="40" customFormat="false" ht="94.5" hidden="false" customHeight="true" outlineLevel="0" collapsed="false">
      <c r="A40" s="12" t="n">
        <v>37</v>
      </c>
      <c r="B40" s="13" t="s">
        <v>128</v>
      </c>
      <c r="C40" s="13" t="s">
        <v>193</v>
      </c>
      <c r="D40" s="21" t="n">
        <v>5</v>
      </c>
      <c r="E40" s="21" t="n">
        <v>5</v>
      </c>
      <c r="F40" s="21" t="n">
        <v>5</v>
      </c>
      <c r="G40" s="21" t="n">
        <v>5</v>
      </c>
      <c r="H40" s="21" t="n">
        <v>5</v>
      </c>
      <c r="I40" s="18" t="n">
        <f aca="false">AVERAGE(D40:H40)</f>
        <v>5</v>
      </c>
      <c r="J40" s="13" t="s">
        <v>194</v>
      </c>
      <c r="K40" s="13" t="s">
        <v>259</v>
      </c>
      <c r="L40" s="13" t="s">
        <v>196</v>
      </c>
    </row>
    <row r="41" customFormat="false" ht="94.5" hidden="false" customHeight="true" outlineLevel="0" collapsed="false">
      <c r="A41" s="12" t="n">
        <v>38</v>
      </c>
      <c r="B41" s="13" t="s">
        <v>128</v>
      </c>
      <c r="C41" s="13" t="s">
        <v>197</v>
      </c>
      <c r="D41" s="21" t="n">
        <v>5</v>
      </c>
      <c r="E41" s="21" t="n">
        <v>5</v>
      </c>
      <c r="F41" s="21" t="n">
        <v>5</v>
      </c>
      <c r="G41" s="21" t="n">
        <v>5</v>
      </c>
      <c r="H41" s="21" t="n">
        <v>5</v>
      </c>
      <c r="I41" s="18" t="n">
        <f aca="false">AVERAGE(D41:H41)</f>
        <v>5</v>
      </c>
      <c r="J41" s="13" t="s">
        <v>198</v>
      </c>
      <c r="K41" s="13" t="s">
        <v>260</v>
      </c>
      <c r="L41" s="13" t="s">
        <v>200</v>
      </c>
    </row>
    <row r="42" customFormat="false" ht="94.5" hidden="false" customHeight="true" outlineLevel="0" collapsed="false">
      <c r="A42" s="12" t="n">
        <v>39</v>
      </c>
      <c r="B42" s="13" t="s">
        <v>128</v>
      </c>
      <c r="C42" s="13" t="s">
        <v>201</v>
      </c>
      <c r="D42" s="21" t="n">
        <v>5</v>
      </c>
      <c r="E42" s="17" t="n">
        <v>4</v>
      </c>
      <c r="F42" s="21" t="n">
        <v>5</v>
      </c>
      <c r="G42" s="17" t="n">
        <v>4</v>
      </c>
      <c r="H42" s="21" t="n">
        <v>5</v>
      </c>
      <c r="I42" s="18" t="n">
        <f aca="false">AVERAGE(D42:H42)</f>
        <v>4.6</v>
      </c>
      <c r="J42" s="13" t="s">
        <v>202</v>
      </c>
      <c r="K42" s="13" t="s">
        <v>261</v>
      </c>
      <c r="L42" s="13" t="s">
        <v>204</v>
      </c>
    </row>
    <row r="43" customFormat="false" ht="94.5" hidden="false" customHeight="true" outlineLevel="0" collapsed="false">
      <c r="A43" s="12" t="n">
        <v>40</v>
      </c>
      <c r="B43" s="13" t="s">
        <v>128</v>
      </c>
      <c r="C43" s="13" t="s">
        <v>205</v>
      </c>
      <c r="D43" s="21" t="n">
        <v>5</v>
      </c>
      <c r="E43" s="21" t="n">
        <v>5</v>
      </c>
      <c r="F43" s="21" t="n">
        <v>5</v>
      </c>
      <c r="G43" s="21" t="n">
        <v>5</v>
      </c>
      <c r="H43" s="21" t="n">
        <v>5</v>
      </c>
      <c r="I43" s="18" t="n">
        <f aca="false">AVERAGE(D43:H43)</f>
        <v>5</v>
      </c>
      <c r="J43" s="13" t="s">
        <v>206</v>
      </c>
      <c r="K43" s="13" t="s">
        <v>262</v>
      </c>
      <c r="L43" s="13" t="s">
        <v>208</v>
      </c>
    </row>
    <row r="44" customFormat="false" ht="94.5" hidden="false" customHeight="true" outlineLevel="0" collapsed="false">
      <c r="A44" s="12" t="n">
        <v>41</v>
      </c>
      <c r="B44" s="13" t="s">
        <v>128</v>
      </c>
      <c r="C44" s="13" t="s">
        <v>209</v>
      </c>
      <c r="D44" s="21" t="n">
        <v>5</v>
      </c>
      <c r="E44" s="21" t="n">
        <v>5</v>
      </c>
      <c r="F44" s="21" t="n">
        <v>5</v>
      </c>
      <c r="G44" s="21" t="n">
        <v>5</v>
      </c>
      <c r="H44" s="21" t="n">
        <v>5</v>
      </c>
      <c r="I44" s="18" t="n">
        <f aca="false">AVERAGE(D44:H44)</f>
        <v>5</v>
      </c>
      <c r="J44" s="13" t="s">
        <v>210</v>
      </c>
      <c r="K44" s="13" t="s">
        <v>263</v>
      </c>
      <c r="L44" s="13" t="s">
        <v>212</v>
      </c>
    </row>
    <row r="45" customFormat="false" ht="94.5" hidden="false" customHeight="true" outlineLevel="0" collapsed="false">
      <c r="A45" s="12" t="n">
        <v>42</v>
      </c>
      <c r="B45" s="13" t="s">
        <v>128</v>
      </c>
      <c r="C45" s="13" t="s">
        <v>213</v>
      </c>
      <c r="D45" s="21" t="n">
        <v>5</v>
      </c>
      <c r="E45" s="21" t="n">
        <v>5</v>
      </c>
      <c r="F45" s="21" t="n">
        <v>5</v>
      </c>
      <c r="G45" s="17" t="n">
        <v>4</v>
      </c>
      <c r="H45" s="21" t="n">
        <v>5</v>
      </c>
      <c r="I45" s="18" t="n">
        <f aca="false">AVERAGE(D45:H45)</f>
        <v>4.8</v>
      </c>
      <c r="J45" s="13" t="s">
        <v>214</v>
      </c>
      <c r="K45" s="13" t="s">
        <v>264</v>
      </c>
      <c r="L45" s="13" t="s">
        <v>216</v>
      </c>
    </row>
    <row r="46" customFormat="false" ht="94.5" hidden="false" customHeight="true" outlineLevel="0" collapsed="false">
      <c r="A46" s="12" t="n">
        <v>43</v>
      </c>
      <c r="B46" s="13" t="s">
        <v>128</v>
      </c>
      <c r="C46" s="13" t="s">
        <v>217</v>
      </c>
      <c r="D46" s="17" t="n">
        <v>4</v>
      </c>
      <c r="E46" s="17" t="n">
        <v>4</v>
      </c>
      <c r="F46" s="17" t="n">
        <v>4</v>
      </c>
      <c r="G46" s="17" t="n">
        <v>4</v>
      </c>
      <c r="H46" s="17" t="n">
        <v>4</v>
      </c>
      <c r="I46" s="18" t="n">
        <f aca="false">AVERAGE(D46:H46)</f>
        <v>4</v>
      </c>
      <c r="J46" s="13" t="s">
        <v>218</v>
      </c>
      <c r="K46" s="13" t="s">
        <v>265</v>
      </c>
      <c r="L46" s="13" t="s">
        <v>220</v>
      </c>
    </row>
    <row r="47" customFormat="false" ht="15" hidden="false" customHeight="false" outlineLevel="0" collapsed="false">
      <c r="A47" s="19"/>
      <c r="B47" s="19"/>
      <c r="C47" s="20" t="s">
        <v>221</v>
      </c>
      <c r="D47" s="8" t="n">
        <f aca="false">AVERAGE(D4:D46)</f>
        <v>4.11627906976744</v>
      </c>
      <c r="E47" s="8" t="n">
        <f aca="false">AVERAGE(E4:E46)</f>
        <v>3.76744186046512</v>
      </c>
      <c r="F47" s="8" t="n">
        <f aca="false">AVERAGE(F4:F46)</f>
        <v>4.2093023255814</v>
      </c>
      <c r="G47" s="8" t="n">
        <f aca="false">AVERAGE(G4:G46)</f>
        <v>3.86046511627907</v>
      </c>
      <c r="H47" s="8" t="n">
        <f aca="false">AVERAGE(H4:H46)</f>
        <v>4.44186046511628</v>
      </c>
      <c r="I47" s="8" t="n">
        <f aca="false">AVERAGE(I4:I46)</f>
        <v>4.07906976744186</v>
      </c>
      <c r="J47" s="19"/>
      <c r="K47" s="19"/>
      <c r="L47" s="1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8"/>
    <col collapsed="false" customWidth="true" hidden="false" outlineLevel="0" max="3" min="3" style="0" width="42"/>
    <col collapsed="false" customWidth="true" hidden="false" outlineLevel="0" max="8" min="4" style="0" width="11"/>
    <col collapsed="false" customWidth="true" hidden="false" outlineLevel="0" max="9" min="9" style="0" width="9"/>
    <col collapsed="false" customWidth="true" hidden="false" outlineLevel="0" max="10" min="10" style="0" width="44"/>
    <col collapsed="false" customWidth="true" hidden="false" outlineLevel="0" max="12" min="11" style="0" width="70"/>
  </cols>
  <sheetData>
    <row r="1" customFormat="false" ht="19.5" hidden="false" customHeight="true" outlineLevel="0" collapsed="false">
      <c r="A1" s="1" t="s">
        <v>266</v>
      </c>
    </row>
    <row r="3" customFormat="false" ht="15" hidden="false" customHeight="false" outlineLevel="0" collapsed="false">
      <c r="A3" s="4" t="s">
        <v>39</v>
      </c>
      <c r="B3" s="4" t="s">
        <v>40</v>
      </c>
      <c r="C3" s="4" t="s">
        <v>41</v>
      </c>
      <c r="D3" s="4" t="s">
        <v>8</v>
      </c>
      <c r="E3" s="4" t="s">
        <v>9</v>
      </c>
      <c r="F3" s="4" t="s">
        <v>10</v>
      </c>
      <c r="G3" s="4" t="s">
        <v>11</v>
      </c>
      <c r="H3" s="4" t="s">
        <v>12</v>
      </c>
      <c r="I3" s="4" t="s">
        <v>42</v>
      </c>
      <c r="J3" s="4" t="s">
        <v>43</v>
      </c>
      <c r="K3" s="4" t="s">
        <v>267</v>
      </c>
      <c r="L3" s="4" t="s">
        <v>45</v>
      </c>
    </row>
    <row r="4" customFormat="false" ht="94.5" hidden="false" customHeight="true" outlineLevel="0" collapsed="false">
      <c r="A4" s="12" t="n">
        <v>1</v>
      </c>
      <c r="B4" s="13" t="s">
        <v>46</v>
      </c>
      <c r="C4" s="13" t="s">
        <v>47</v>
      </c>
      <c r="D4" s="14" t="n">
        <v>2</v>
      </c>
      <c r="E4" s="14" t="n">
        <v>2</v>
      </c>
      <c r="F4" s="16" t="n">
        <v>3</v>
      </c>
      <c r="G4" s="14" t="n">
        <v>2</v>
      </c>
      <c r="H4" s="17" t="n">
        <v>4</v>
      </c>
      <c r="I4" s="18" t="n">
        <f aca="false">AVERAGE(D4:H4)</f>
        <v>2.6</v>
      </c>
      <c r="J4" s="13" t="s">
        <v>48</v>
      </c>
      <c r="K4" s="13" t="s">
        <v>268</v>
      </c>
      <c r="L4" s="13" t="s">
        <v>50</v>
      </c>
    </row>
    <row r="5" customFormat="false" ht="94.5" hidden="false" customHeight="true" outlineLevel="0" collapsed="false">
      <c r="A5" s="12" t="n">
        <v>2</v>
      </c>
      <c r="B5" s="13" t="s">
        <v>46</v>
      </c>
      <c r="C5" s="13" t="s">
        <v>51</v>
      </c>
      <c r="D5" s="16" t="n">
        <v>3</v>
      </c>
      <c r="E5" s="14" t="n">
        <v>2</v>
      </c>
      <c r="F5" s="17" t="n">
        <v>4</v>
      </c>
      <c r="G5" s="16" t="n">
        <v>3</v>
      </c>
      <c r="H5" s="17" t="n">
        <v>4</v>
      </c>
      <c r="I5" s="18" t="n">
        <f aca="false">AVERAGE(D5:H5)</f>
        <v>3.2</v>
      </c>
      <c r="J5" s="13" t="s">
        <v>52</v>
      </c>
      <c r="K5" s="13" t="s">
        <v>269</v>
      </c>
      <c r="L5" s="13" t="s">
        <v>54</v>
      </c>
    </row>
    <row r="6" customFormat="false" ht="94.5" hidden="false" customHeight="true" outlineLevel="0" collapsed="false">
      <c r="A6" s="12" t="n">
        <v>3</v>
      </c>
      <c r="B6" s="13" t="s">
        <v>46</v>
      </c>
      <c r="C6" s="13" t="s">
        <v>55</v>
      </c>
      <c r="D6" s="17" t="n">
        <v>4</v>
      </c>
      <c r="E6" s="16" t="n">
        <v>3</v>
      </c>
      <c r="F6" s="17" t="n">
        <v>4</v>
      </c>
      <c r="G6" s="17" t="n">
        <v>4</v>
      </c>
      <c r="H6" s="17" t="n">
        <v>4</v>
      </c>
      <c r="I6" s="18" t="n">
        <f aca="false">AVERAGE(D6:H6)</f>
        <v>3.8</v>
      </c>
      <c r="J6" s="13" t="s">
        <v>56</v>
      </c>
      <c r="K6" s="13" t="s">
        <v>270</v>
      </c>
      <c r="L6" s="13" t="s">
        <v>58</v>
      </c>
    </row>
    <row r="7" customFormat="false" ht="94.5" hidden="false" customHeight="true" outlineLevel="0" collapsed="false">
      <c r="A7" s="12" t="n">
        <v>4</v>
      </c>
      <c r="B7" s="13" t="s">
        <v>46</v>
      </c>
      <c r="C7" s="13" t="s">
        <v>59</v>
      </c>
      <c r="D7" s="17" t="n">
        <v>4</v>
      </c>
      <c r="E7" s="16" t="n">
        <v>3</v>
      </c>
      <c r="F7" s="17" t="n">
        <v>4</v>
      </c>
      <c r="G7" s="17" t="n">
        <v>4</v>
      </c>
      <c r="H7" s="17" t="n">
        <v>4</v>
      </c>
      <c r="I7" s="18" t="n">
        <f aca="false">AVERAGE(D7:H7)</f>
        <v>3.8</v>
      </c>
      <c r="J7" s="13" t="s">
        <v>60</v>
      </c>
      <c r="K7" s="13" t="s">
        <v>271</v>
      </c>
      <c r="L7" s="13" t="s">
        <v>62</v>
      </c>
    </row>
    <row r="8" customFormat="false" ht="94.5" hidden="false" customHeight="true" outlineLevel="0" collapsed="false">
      <c r="A8" s="12" t="n">
        <v>5</v>
      </c>
      <c r="B8" s="13" t="s">
        <v>46</v>
      </c>
      <c r="C8" s="13" t="s">
        <v>63</v>
      </c>
      <c r="D8" s="16" t="n">
        <v>3</v>
      </c>
      <c r="E8" s="14" t="n">
        <v>2</v>
      </c>
      <c r="F8" s="16" t="n">
        <v>3</v>
      </c>
      <c r="G8" s="16" t="n">
        <v>3</v>
      </c>
      <c r="H8" s="17" t="n">
        <v>4</v>
      </c>
      <c r="I8" s="18" t="n">
        <f aca="false">AVERAGE(D8:H8)</f>
        <v>3</v>
      </c>
      <c r="J8" s="13" t="s">
        <v>64</v>
      </c>
      <c r="K8" s="13" t="s">
        <v>272</v>
      </c>
      <c r="L8" s="13" t="s">
        <v>66</v>
      </c>
    </row>
    <row r="9" customFormat="false" ht="94.5" hidden="false" customHeight="true" outlineLevel="0" collapsed="false">
      <c r="A9" s="12" t="n">
        <v>6</v>
      </c>
      <c r="B9" s="13" t="s">
        <v>46</v>
      </c>
      <c r="C9" s="13" t="s">
        <v>67</v>
      </c>
      <c r="D9" s="16" t="n">
        <v>3</v>
      </c>
      <c r="E9" s="16" t="n">
        <v>3</v>
      </c>
      <c r="F9" s="16" t="n">
        <v>3</v>
      </c>
      <c r="G9" s="16" t="n">
        <v>3</v>
      </c>
      <c r="H9" s="17" t="n">
        <v>4</v>
      </c>
      <c r="I9" s="18" t="n">
        <f aca="false">AVERAGE(D9:H9)</f>
        <v>3.2</v>
      </c>
      <c r="J9" s="13" t="s">
        <v>68</v>
      </c>
      <c r="K9" s="13" t="s">
        <v>273</v>
      </c>
      <c r="L9" s="13" t="s">
        <v>70</v>
      </c>
    </row>
    <row r="10" customFormat="false" ht="94.5" hidden="false" customHeight="true" outlineLevel="0" collapsed="false">
      <c r="A10" s="12" t="n">
        <v>7</v>
      </c>
      <c r="B10" s="13" t="s">
        <v>46</v>
      </c>
      <c r="C10" s="13" t="s">
        <v>71</v>
      </c>
      <c r="D10" s="17" t="n">
        <v>4</v>
      </c>
      <c r="E10" s="17" t="n">
        <v>4</v>
      </c>
      <c r="F10" s="17" t="n">
        <v>4</v>
      </c>
      <c r="G10" s="16" t="n">
        <v>3</v>
      </c>
      <c r="H10" s="17" t="n">
        <v>4</v>
      </c>
      <c r="I10" s="18" t="n">
        <f aca="false">AVERAGE(D10:H10)</f>
        <v>3.8</v>
      </c>
      <c r="J10" s="13" t="s">
        <v>72</v>
      </c>
      <c r="K10" s="13" t="s">
        <v>274</v>
      </c>
      <c r="L10" s="13" t="s">
        <v>74</v>
      </c>
    </row>
    <row r="11" customFormat="false" ht="94.5" hidden="false" customHeight="true" outlineLevel="0" collapsed="false">
      <c r="A11" s="12" t="n">
        <v>8</v>
      </c>
      <c r="B11" s="13" t="s">
        <v>46</v>
      </c>
      <c r="C11" s="13" t="s">
        <v>75</v>
      </c>
      <c r="D11" s="17" t="n">
        <v>4</v>
      </c>
      <c r="E11" s="16" t="n">
        <v>3</v>
      </c>
      <c r="F11" s="17" t="n">
        <v>4</v>
      </c>
      <c r="G11" s="17" t="n">
        <v>4</v>
      </c>
      <c r="H11" s="17" t="n">
        <v>4</v>
      </c>
      <c r="I11" s="18" t="n">
        <f aca="false">AVERAGE(D11:H11)</f>
        <v>3.8</v>
      </c>
      <c r="J11" s="13" t="s">
        <v>76</v>
      </c>
      <c r="K11" s="13" t="s">
        <v>275</v>
      </c>
      <c r="L11" s="13" t="s">
        <v>78</v>
      </c>
    </row>
    <row r="12" customFormat="false" ht="94.5" hidden="false" customHeight="true" outlineLevel="0" collapsed="false">
      <c r="A12" s="12" t="n">
        <v>9</v>
      </c>
      <c r="B12" s="13" t="s">
        <v>46</v>
      </c>
      <c r="C12" s="13" t="s">
        <v>79</v>
      </c>
      <c r="D12" s="14" t="n">
        <v>2</v>
      </c>
      <c r="E12" s="15" t="n">
        <v>1</v>
      </c>
      <c r="F12" s="14" t="n">
        <v>2</v>
      </c>
      <c r="G12" s="14" t="n">
        <v>2</v>
      </c>
      <c r="H12" s="16" t="n">
        <v>3</v>
      </c>
      <c r="I12" s="18" t="n">
        <f aca="false">AVERAGE(D12:H12)</f>
        <v>2</v>
      </c>
      <c r="J12" s="13" t="s">
        <v>80</v>
      </c>
      <c r="K12" s="13" t="s">
        <v>276</v>
      </c>
      <c r="L12" s="13" t="s">
        <v>82</v>
      </c>
    </row>
    <row r="13" customFormat="false" ht="94.5" hidden="false" customHeight="true" outlineLevel="0" collapsed="false">
      <c r="A13" s="12" t="n">
        <v>10</v>
      </c>
      <c r="B13" s="13" t="s">
        <v>46</v>
      </c>
      <c r="C13" s="13" t="s">
        <v>83</v>
      </c>
      <c r="D13" s="16" t="n">
        <v>3</v>
      </c>
      <c r="E13" s="14" t="n">
        <v>2</v>
      </c>
      <c r="F13" s="16" t="n">
        <v>3</v>
      </c>
      <c r="G13" s="16" t="n">
        <v>3</v>
      </c>
      <c r="H13" s="17" t="n">
        <v>4</v>
      </c>
      <c r="I13" s="18" t="n">
        <f aca="false">AVERAGE(D13:H13)</f>
        <v>3</v>
      </c>
      <c r="J13" s="13" t="s">
        <v>84</v>
      </c>
      <c r="K13" s="13" t="s">
        <v>277</v>
      </c>
      <c r="L13" s="13" t="s">
        <v>86</v>
      </c>
    </row>
    <row r="14" customFormat="false" ht="94.5" hidden="false" customHeight="true" outlineLevel="0" collapsed="false">
      <c r="A14" s="12" t="n">
        <v>11</v>
      </c>
      <c r="B14" s="13" t="s">
        <v>46</v>
      </c>
      <c r="C14" s="13" t="s">
        <v>87</v>
      </c>
      <c r="D14" s="17" t="n">
        <v>4</v>
      </c>
      <c r="E14" s="17" t="n">
        <v>4</v>
      </c>
      <c r="F14" s="17" t="n">
        <v>4</v>
      </c>
      <c r="G14" s="17" t="n">
        <v>4</v>
      </c>
      <c r="H14" s="17" t="n">
        <v>4</v>
      </c>
      <c r="I14" s="18" t="n">
        <f aca="false">AVERAGE(D14:H14)</f>
        <v>4</v>
      </c>
      <c r="J14" s="13" t="s">
        <v>88</v>
      </c>
      <c r="K14" s="13" t="s">
        <v>278</v>
      </c>
      <c r="L14" s="13" t="s">
        <v>90</v>
      </c>
    </row>
    <row r="15" customFormat="false" ht="94.5" hidden="false" customHeight="true" outlineLevel="0" collapsed="false">
      <c r="A15" s="12" t="n">
        <v>12</v>
      </c>
      <c r="B15" s="13" t="s">
        <v>46</v>
      </c>
      <c r="C15" s="13" t="s">
        <v>91</v>
      </c>
      <c r="D15" s="16" t="n">
        <v>3</v>
      </c>
      <c r="E15" s="14" t="n">
        <v>2</v>
      </c>
      <c r="F15" s="16" t="n">
        <v>3</v>
      </c>
      <c r="G15" s="16" t="n">
        <v>3</v>
      </c>
      <c r="H15" s="17" t="n">
        <v>4</v>
      </c>
      <c r="I15" s="18" t="n">
        <f aca="false">AVERAGE(D15:H15)</f>
        <v>3</v>
      </c>
      <c r="J15" s="13" t="s">
        <v>92</v>
      </c>
      <c r="K15" s="13" t="s">
        <v>279</v>
      </c>
      <c r="L15" s="13" t="s">
        <v>94</v>
      </c>
    </row>
    <row r="16" customFormat="false" ht="94.5" hidden="false" customHeight="true" outlineLevel="0" collapsed="false">
      <c r="A16" s="12" t="n">
        <v>13</v>
      </c>
      <c r="B16" s="13" t="s">
        <v>95</v>
      </c>
      <c r="C16" s="13" t="s">
        <v>96</v>
      </c>
      <c r="D16" s="14" t="n">
        <v>2</v>
      </c>
      <c r="E16" s="15" t="n">
        <v>1</v>
      </c>
      <c r="F16" s="16" t="n">
        <v>3</v>
      </c>
      <c r="G16" s="14" t="n">
        <v>2</v>
      </c>
      <c r="H16" s="16" t="n">
        <v>3</v>
      </c>
      <c r="I16" s="18" t="n">
        <f aca="false">AVERAGE(D16:H16)</f>
        <v>2.2</v>
      </c>
      <c r="J16" s="13" t="s">
        <v>97</v>
      </c>
      <c r="K16" s="13" t="s">
        <v>280</v>
      </c>
      <c r="L16" s="13" t="s">
        <v>99</v>
      </c>
    </row>
    <row r="17" customFormat="false" ht="94.5" hidden="false" customHeight="true" outlineLevel="0" collapsed="false">
      <c r="A17" s="12" t="n">
        <v>14</v>
      </c>
      <c r="B17" s="13" t="s">
        <v>95</v>
      </c>
      <c r="C17" s="13" t="s">
        <v>100</v>
      </c>
      <c r="D17" s="21" t="n">
        <v>5</v>
      </c>
      <c r="E17" s="17" t="n">
        <v>4</v>
      </c>
      <c r="F17" s="21" t="n">
        <v>5</v>
      </c>
      <c r="G17" s="17" t="n">
        <v>4</v>
      </c>
      <c r="H17" s="21" t="n">
        <v>5</v>
      </c>
      <c r="I17" s="18" t="n">
        <f aca="false">AVERAGE(D17:H17)</f>
        <v>4.6</v>
      </c>
      <c r="J17" s="13" t="s">
        <v>101</v>
      </c>
      <c r="K17" s="13" t="s">
        <v>281</v>
      </c>
      <c r="L17" s="13" t="s">
        <v>103</v>
      </c>
    </row>
    <row r="18" customFormat="false" ht="94.5" hidden="false" customHeight="true" outlineLevel="0" collapsed="false">
      <c r="A18" s="12" t="n">
        <v>15</v>
      </c>
      <c r="B18" s="13" t="s">
        <v>95</v>
      </c>
      <c r="C18" s="13" t="s">
        <v>104</v>
      </c>
      <c r="D18" s="17" t="n">
        <v>4</v>
      </c>
      <c r="E18" s="16" t="n">
        <v>3</v>
      </c>
      <c r="F18" s="17" t="n">
        <v>4</v>
      </c>
      <c r="G18" s="17" t="n">
        <v>4</v>
      </c>
      <c r="H18" s="17" t="n">
        <v>4</v>
      </c>
      <c r="I18" s="18" t="n">
        <f aca="false">AVERAGE(D18:H18)</f>
        <v>3.8</v>
      </c>
      <c r="J18" s="13" t="s">
        <v>105</v>
      </c>
      <c r="K18" s="13" t="s">
        <v>282</v>
      </c>
      <c r="L18" s="13" t="s">
        <v>107</v>
      </c>
    </row>
    <row r="19" customFormat="false" ht="94.5" hidden="false" customHeight="true" outlineLevel="0" collapsed="false">
      <c r="A19" s="12" t="n">
        <v>16</v>
      </c>
      <c r="B19" s="13" t="s">
        <v>95</v>
      </c>
      <c r="C19" s="13" t="s">
        <v>108</v>
      </c>
      <c r="D19" s="16" t="n">
        <v>3</v>
      </c>
      <c r="E19" s="14" t="n">
        <v>2</v>
      </c>
      <c r="F19" s="16" t="n">
        <v>3</v>
      </c>
      <c r="G19" s="16" t="n">
        <v>3</v>
      </c>
      <c r="H19" s="17" t="n">
        <v>4</v>
      </c>
      <c r="I19" s="18" t="n">
        <f aca="false">AVERAGE(D19:H19)</f>
        <v>3</v>
      </c>
      <c r="J19" s="13" t="s">
        <v>109</v>
      </c>
      <c r="K19" s="13" t="s">
        <v>283</v>
      </c>
      <c r="L19" s="13" t="s">
        <v>111</v>
      </c>
    </row>
    <row r="20" customFormat="false" ht="94.5" hidden="false" customHeight="true" outlineLevel="0" collapsed="false">
      <c r="A20" s="12" t="n">
        <v>17</v>
      </c>
      <c r="B20" s="13" t="s">
        <v>95</v>
      </c>
      <c r="C20" s="13" t="s">
        <v>112</v>
      </c>
      <c r="D20" s="16" t="n">
        <v>3</v>
      </c>
      <c r="E20" s="14" t="n">
        <v>2</v>
      </c>
      <c r="F20" s="16" t="n">
        <v>3</v>
      </c>
      <c r="G20" s="16" t="n">
        <v>3</v>
      </c>
      <c r="H20" s="17" t="n">
        <v>4</v>
      </c>
      <c r="I20" s="18" t="n">
        <f aca="false">AVERAGE(D20:H20)</f>
        <v>3</v>
      </c>
      <c r="J20" s="13" t="s">
        <v>113</v>
      </c>
      <c r="K20" s="13" t="s">
        <v>284</v>
      </c>
      <c r="L20" s="13" t="s">
        <v>115</v>
      </c>
    </row>
    <row r="21" customFormat="false" ht="94.5" hidden="false" customHeight="true" outlineLevel="0" collapsed="false">
      <c r="A21" s="12" t="n">
        <v>18</v>
      </c>
      <c r="B21" s="13" t="s">
        <v>95</v>
      </c>
      <c r="C21" s="13" t="s">
        <v>116</v>
      </c>
      <c r="D21" s="16" t="n">
        <v>3</v>
      </c>
      <c r="E21" s="16" t="n">
        <v>3</v>
      </c>
      <c r="F21" s="16" t="n">
        <v>3</v>
      </c>
      <c r="G21" s="16" t="n">
        <v>3</v>
      </c>
      <c r="H21" s="17" t="n">
        <v>4</v>
      </c>
      <c r="I21" s="18" t="n">
        <f aca="false">AVERAGE(D21:H21)</f>
        <v>3.2</v>
      </c>
      <c r="J21" s="13" t="s">
        <v>117</v>
      </c>
      <c r="K21" s="13" t="s">
        <v>285</v>
      </c>
      <c r="L21" s="13" t="s">
        <v>119</v>
      </c>
    </row>
    <row r="22" customFormat="false" ht="94.5" hidden="false" customHeight="true" outlineLevel="0" collapsed="false">
      <c r="A22" s="12" t="n">
        <v>19</v>
      </c>
      <c r="B22" s="13" t="s">
        <v>95</v>
      </c>
      <c r="C22" s="13" t="s">
        <v>120</v>
      </c>
      <c r="D22" s="16" t="n">
        <v>3</v>
      </c>
      <c r="E22" s="14" t="n">
        <v>2</v>
      </c>
      <c r="F22" s="16" t="n">
        <v>3</v>
      </c>
      <c r="G22" s="16" t="n">
        <v>3</v>
      </c>
      <c r="H22" s="17" t="n">
        <v>4</v>
      </c>
      <c r="I22" s="18" t="n">
        <f aca="false">AVERAGE(D22:H22)</f>
        <v>3</v>
      </c>
      <c r="J22" s="13" t="s">
        <v>121</v>
      </c>
      <c r="K22" s="13" t="s">
        <v>286</v>
      </c>
      <c r="L22" s="13" t="s">
        <v>123</v>
      </c>
    </row>
    <row r="23" customFormat="false" ht="94.5" hidden="false" customHeight="true" outlineLevel="0" collapsed="false">
      <c r="A23" s="12" t="n">
        <v>20</v>
      </c>
      <c r="B23" s="13" t="s">
        <v>95</v>
      </c>
      <c r="C23" s="13" t="s">
        <v>124</v>
      </c>
      <c r="D23" s="16" t="n">
        <v>3</v>
      </c>
      <c r="E23" s="16" t="n">
        <v>3</v>
      </c>
      <c r="F23" s="17" t="n">
        <v>4</v>
      </c>
      <c r="G23" s="16" t="n">
        <v>3</v>
      </c>
      <c r="H23" s="17" t="n">
        <v>4</v>
      </c>
      <c r="I23" s="18" t="n">
        <f aca="false">AVERAGE(D23:H23)</f>
        <v>3.4</v>
      </c>
      <c r="J23" s="13" t="s">
        <v>125</v>
      </c>
      <c r="K23" s="13" t="s">
        <v>287</v>
      </c>
      <c r="L23" s="13" t="s">
        <v>127</v>
      </c>
    </row>
    <row r="24" customFormat="false" ht="94.5" hidden="false" customHeight="true" outlineLevel="0" collapsed="false">
      <c r="A24" s="12" t="n">
        <v>21</v>
      </c>
      <c r="B24" s="13" t="s">
        <v>128</v>
      </c>
      <c r="C24" s="13" t="s">
        <v>129</v>
      </c>
      <c r="D24" s="21" t="n">
        <v>5</v>
      </c>
      <c r="E24" s="17" t="n">
        <v>4</v>
      </c>
      <c r="F24" s="21" t="n">
        <v>5</v>
      </c>
      <c r="G24" s="21" t="n">
        <v>5</v>
      </c>
      <c r="H24" s="21" t="n">
        <v>5</v>
      </c>
      <c r="I24" s="18" t="n">
        <f aca="false">AVERAGE(D24:H24)</f>
        <v>4.8</v>
      </c>
      <c r="J24" s="13" t="s">
        <v>130</v>
      </c>
      <c r="K24" s="13" t="s">
        <v>288</v>
      </c>
      <c r="L24" s="13" t="s">
        <v>132</v>
      </c>
    </row>
    <row r="25" customFormat="false" ht="94.5" hidden="false" customHeight="true" outlineLevel="0" collapsed="false">
      <c r="A25" s="12" t="n">
        <v>22</v>
      </c>
      <c r="B25" s="13" t="s">
        <v>128</v>
      </c>
      <c r="C25" s="13" t="s">
        <v>133</v>
      </c>
      <c r="D25" s="14" t="n">
        <v>2</v>
      </c>
      <c r="E25" s="14" t="n">
        <v>2</v>
      </c>
      <c r="F25" s="14" t="n">
        <v>2</v>
      </c>
      <c r="G25" s="14" t="n">
        <v>2</v>
      </c>
      <c r="H25" s="17" t="n">
        <v>4</v>
      </c>
      <c r="I25" s="18" t="n">
        <f aca="false">AVERAGE(D25:H25)</f>
        <v>2.4</v>
      </c>
      <c r="J25" s="13" t="s">
        <v>134</v>
      </c>
      <c r="K25" s="13" t="s">
        <v>289</v>
      </c>
      <c r="L25" s="13" t="s">
        <v>136</v>
      </c>
    </row>
    <row r="26" customFormat="false" ht="94.5" hidden="false" customHeight="true" outlineLevel="0" collapsed="false">
      <c r="A26" s="12" t="n">
        <v>23</v>
      </c>
      <c r="B26" s="13" t="s">
        <v>128</v>
      </c>
      <c r="C26" s="13" t="s">
        <v>137</v>
      </c>
      <c r="D26" s="21" t="n">
        <v>5</v>
      </c>
      <c r="E26" s="21" t="n">
        <v>5</v>
      </c>
      <c r="F26" s="21" t="n">
        <v>5</v>
      </c>
      <c r="G26" s="21" t="n">
        <v>5</v>
      </c>
      <c r="H26" s="21" t="n">
        <v>5</v>
      </c>
      <c r="I26" s="18" t="n">
        <f aca="false">AVERAGE(D26:H26)</f>
        <v>5</v>
      </c>
      <c r="J26" s="13" t="s">
        <v>138</v>
      </c>
      <c r="K26" s="13" t="s">
        <v>290</v>
      </c>
      <c r="L26" s="13" t="s">
        <v>140</v>
      </c>
    </row>
    <row r="27" customFormat="false" ht="94.5" hidden="false" customHeight="true" outlineLevel="0" collapsed="false">
      <c r="A27" s="12" t="n">
        <v>24</v>
      </c>
      <c r="B27" s="13" t="s">
        <v>128</v>
      </c>
      <c r="C27" s="13" t="s">
        <v>141</v>
      </c>
      <c r="D27" s="16" t="n">
        <v>3</v>
      </c>
      <c r="E27" s="16" t="n">
        <v>3</v>
      </c>
      <c r="F27" s="16" t="n">
        <v>3</v>
      </c>
      <c r="G27" s="14" t="n">
        <v>2</v>
      </c>
      <c r="H27" s="17" t="n">
        <v>4</v>
      </c>
      <c r="I27" s="18" t="n">
        <f aca="false">AVERAGE(D27:H27)</f>
        <v>3</v>
      </c>
      <c r="J27" s="13" t="s">
        <v>142</v>
      </c>
      <c r="K27" s="13" t="s">
        <v>291</v>
      </c>
      <c r="L27" s="13" t="s">
        <v>144</v>
      </c>
    </row>
    <row r="28" customFormat="false" ht="94.5" hidden="false" customHeight="true" outlineLevel="0" collapsed="false">
      <c r="A28" s="12" t="n">
        <v>25</v>
      </c>
      <c r="B28" s="13" t="s">
        <v>128</v>
      </c>
      <c r="C28" s="13" t="s">
        <v>145</v>
      </c>
      <c r="D28" s="21" t="n">
        <v>5</v>
      </c>
      <c r="E28" s="17" t="n">
        <v>4</v>
      </c>
      <c r="F28" s="21" t="n">
        <v>5</v>
      </c>
      <c r="G28" s="21" t="n">
        <v>5</v>
      </c>
      <c r="H28" s="21" t="n">
        <v>5</v>
      </c>
      <c r="I28" s="18" t="n">
        <f aca="false">AVERAGE(D28:H28)</f>
        <v>4.8</v>
      </c>
      <c r="J28" s="13" t="s">
        <v>146</v>
      </c>
      <c r="K28" s="13" t="s">
        <v>292</v>
      </c>
      <c r="L28" s="13" t="s">
        <v>148</v>
      </c>
    </row>
    <row r="29" customFormat="false" ht="94.5" hidden="false" customHeight="true" outlineLevel="0" collapsed="false">
      <c r="A29" s="12" t="n">
        <v>26</v>
      </c>
      <c r="B29" s="13" t="s">
        <v>128</v>
      </c>
      <c r="C29" s="13" t="s">
        <v>149</v>
      </c>
      <c r="D29" s="16" t="n">
        <v>3</v>
      </c>
      <c r="E29" s="16" t="n">
        <v>3</v>
      </c>
      <c r="F29" s="16" t="n">
        <v>3</v>
      </c>
      <c r="G29" s="14" t="n">
        <v>2</v>
      </c>
      <c r="H29" s="17" t="n">
        <v>4</v>
      </c>
      <c r="I29" s="18" t="n">
        <f aca="false">AVERAGE(D29:H29)</f>
        <v>3</v>
      </c>
      <c r="J29" s="13" t="s">
        <v>150</v>
      </c>
      <c r="K29" s="13" t="s">
        <v>293</v>
      </c>
      <c r="L29" s="13" t="s">
        <v>152</v>
      </c>
    </row>
    <row r="30" customFormat="false" ht="94.5" hidden="false" customHeight="true" outlineLevel="0" collapsed="false">
      <c r="A30" s="12" t="n">
        <v>27</v>
      </c>
      <c r="B30" s="13" t="s">
        <v>128</v>
      </c>
      <c r="C30" s="13" t="s">
        <v>153</v>
      </c>
      <c r="D30" s="17" t="n">
        <v>4</v>
      </c>
      <c r="E30" s="14" t="n">
        <v>2</v>
      </c>
      <c r="F30" s="17" t="n">
        <v>4</v>
      </c>
      <c r="G30" s="16" t="n">
        <v>3</v>
      </c>
      <c r="H30" s="17" t="n">
        <v>4</v>
      </c>
      <c r="I30" s="18" t="n">
        <f aca="false">AVERAGE(D30:H30)</f>
        <v>3.4</v>
      </c>
      <c r="J30" s="13" t="s">
        <v>154</v>
      </c>
      <c r="K30" s="13" t="s">
        <v>294</v>
      </c>
      <c r="L30" s="13" t="s">
        <v>156</v>
      </c>
    </row>
    <row r="31" customFormat="false" ht="94.5" hidden="false" customHeight="true" outlineLevel="0" collapsed="false">
      <c r="A31" s="12" t="n">
        <v>28</v>
      </c>
      <c r="B31" s="13" t="s">
        <v>128</v>
      </c>
      <c r="C31" s="13" t="s">
        <v>157</v>
      </c>
      <c r="D31" s="17" t="n">
        <v>4</v>
      </c>
      <c r="E31" s="17" t="n">
        <v>4</v>
      </c>
      <c r="F31" s="17" t="n">
        <v>4</v>
      </c>
      <c r="G31" s="17" t="n">
        <v>4</v>
      </c>
      <c r="H31" s="17" t="n">
        <v>4</v>
      </c>
      <c r="I31" s="18" t="n">
        <f aca="false">AVERAGE(D31:H31)</f>
        <v>4</v>
      </c>
      <c r="J31" s="13" t="s">
        <v>158</v>
      </c>
      <c r="K31" s="13" t="s">
        <v>295</v>
      </c>
      <c r="L31" s="13" t="s">
        <v>160</v>
      </c>
    </row>
    <row r="32" customFormat="false" ht="94.5" hidden="false" customHeight="true" outlineLevel="0" collapsed="false">
      <c r="A32" s="12" t="n">
        <v>29</v>
      </c>
      <c r="B32" s="13" t="s">
        <v>128</v>
      </c>
      <c r="C32" s="13" t="s">
        <v>161</v>
      </c>
      <c r="D32" s="14" t="n">
        <v>2</v>
      </c>
      <c r="E32" s="14" t="n">
        <v>2</v>
      </c>
      <c r="F32" s="16" t="n">
        <v>3</v>
      </c>
      <c r="G32" s="14" t="n">
        <v>2</v>
      </c>
      <c r="H32" s="17" t="n">
        <v>4</v>
      </c>
      <c r="I32" s="18" t="n">
        <f aca="false">AVERAGE(D32:H32)</f>
        <v>2.6</v>
      </c>
      <c r="J32" s="13" t="s">
        <v>162</v>
      </c>
      <c r="K32" s="13" t="s">
        <v>296</v>
      </c>
      <c r="L32" s="13" t="s">
        <v>164</v>
      </c>
    </row>
    <row r="33" customFormat="false" ht="94.5" hidden="false" customHeight="true" outlineLevel="0" collapsed="false">
      <c r="A33" s="12" t="n">
        <v>30</v>
      </c>
      <c r="B33" s="13" t="s">
        <v>128</v>
      </c>
      <c r="C33" s="13" t="s">
        <v>165</v>
      </c>
      <c r="D33" s="14" t="n">
        <v>2</v>
      </c>
      <c r="E33" s="14" t="n">
        <v>2</v>
      </c>
      <c r="F33" s="14" t="n">
        <v>2</v>
      </c>
      <c r="G33" s="14" t="n">
        <v>2</v>
      </c>
      <c r="H33" s="16" t="n">
        <v>3</v>
      </c>
      <c r="I33" s="18" t="n">
        <f aca="false">AVERAGE(D33:H33)</f>
        <v>2.2</v>
      </c>
      <c r="J33" s="13" t="s">
        <v>166</v>
      </c>
      <c r="K33" s="13" t="s">
        <v>297</v>
      </c>
      <c r="L33" s="13" t="s">
        <v>168</v>
      </c>
    </row>
    <row r="34" customFormat="false" ht="94.5" hidden="false" customHeight="true" outlineLevel="0" collapsed="false">
      <c r="A34" s="12" t="n">
        <v>31</v>
      </c>
      <c r="B34" s="13" t="s">
        <v>128</v>
      </c>
      <c r="C34" s="13" t="s">
        <v>169</v>
      </c>
      <c r="D34" s="21" t="n">
        <v>5</v>
      </c>
      <c r="E34" s="21" t="n">
        <v>5</v>
      </c>
      <c r="F34" s="21" t="n">
        <v>5</v>
      </c>
      <c r="G34" s="17" t="n">
        <v>4</v>
      </c>
      <c r="H34" s="21" t="n">
        <v>5</v>
      </c>
      <c r="I34" s="18" t="n">
        <f aca="false">AVERAGE(D34:H34)</f>
        <v>4.8</v>
      </c>
      <c r="J34" s="13" t="s">
        <v>170</v>
      </c>
      <c r="K34" s="13" t="s">
        <v>298</v>
      </c>
      <c r="L34" s="13" t="s">
        <v>172</v>
      </c>
    </row>
    <row r="35" customFormat="false" ht="94.5" hidden="false" customHeight="true" outlineLevel="0" collapsed="false">
      <c r="A35" s="12" t="n">
        <v>32</v>
      </c>
      <c r="B35" s="13" t="s">
        <v>128</v>
      </c>
      <c r="C35" s="13" t="s">
        <v>173</v>
      </c>
      <c r="D35" s="21" t="n">
        <v>5</v>
      </c>
      <c r="E35" s="17" t="n">
        <v>4</v>
      </c>
      <c r="F35" s="21" t="n">
        <v>5</v>
      </c>
      <c r="G35" s="17" t="n">
        <v>4</v>
      </c>
      <c r="H35" s="21" t="n">
        <v>5</v>
      </c>
      <c r="I35" s="18" t="n">
        <f aca="false">AVERAGE(D35:H35)</f>
        <v>4.6</v>
      </c>
      <c r="J35" s="13" t="s">
        <v>174</v>
      </c>
      <c r="K35" s="13" t="s">
        <v>299</v>
      </c>
      <c r="L35" s="13" t="s">
        <v>176</v>
      </c>
    </row>
    <row r="36" customFormat="false" ht="94.5" hidden="false" customHeight="true" outlineLevel="0" collapsed="false">
      <c r="A36" s="12" t="n">
        <v>33</v>
      </c>
      <c r="B36" s="13" t="s">
        <v>128</v>
      </c>
      <c r="C36" s="13" t="s">
        <v>177</v>
      </c>
      <c r="D36" s="17" t="n">
        <v>4</v>
      </c>
      <c r="E36" s="17" t="n">
        <v>4</v>
      </c>
      <c r="F36" s="17" t="n">
        <v>4</v>
      </c>
      <c r="G36" s="17" t="n">
        <v>4</v>
      </c>
      <c r="H36" s="17" t="n">
        <v>4</v>
      </c>
      <c r="I36" s="18" t="n">
        <f aca="false">AVERAGE(D36:H36)</f>
        <v>4</v>
      </c>
      <c r="J36" s="13" t="s">
        <v>178</v>
      </c>
      <c r="K36" s="13" t="s">
        <v>300</v>
      </c>
      <c r="L36" s="13" t="s">
        <v>180</v>
      </c>
    </row>
    <row r="37" customFormat="false" ht="94.5" hidden="false" customHeight="true" outlineLevel="0" collapsed="false">
      <c r="A37" s="12" t="n">
        <v>34</v>
      </c>
      <c r="B37" s="13" t="s">
        <v>128</v>
      </c>
      <c r="C37" s="13" t="s">
        <v>181</v>
      </c>
      <c r="D37" s="14" t="n">
        <v>2</v>
      </c>
      <c r="E37" s="14" t="n">
        <v>2</v>
      </c>
      <c r="F37" s="14" t="n">
        <v>2</v>
      </c>
      <c r="G37" s="14" t="n">
        <v>2</v>
      </c>
      <c r="H37" s="17" t="n">
        <v>4</v>
      </c>
      <c r="I37" s="18" t="n">
        <f aca="false">AVERAGE(D37:H37)</f>
        <v>2.4</v>
      </c>
      <c r="J37" s="13" t="s">
        <v>182</v>
      </c>
      <c r="K37" s="13" t="s">
        <v>301</v>
      </c>
      <c r="L37" s="13" t="s">
        <v>184</v>
      </c>
    </row>
    <row r="38" customFormat="false" ht="94.5" hidden="false" customHeight="true" outlineLevel="0" collapsed="false">
      <c r="A38" s="12" t="n">
        <v>35</v>
      </c>
      <c r="B38" s="13" t="s">
        <v>128</v>
      </c>
      <c r="C38" s="13" t="s">
        <v>185</v>
      </c>
      <c r="D38" s="21" t="n">
        <v>5</v>
      </c>
      <c r="E38" s="21" t="n">
        <v>5</v>
      </c>
      <c r="F38" s="21" t="n">
        <v>5</v>
      </c>
      <c r="G38" s="17" t="n">
        <v>4</v>
      </c>
      <c r="H38" s="21" t="n">
        <v>5</v>
      </c>
      <c r="I38" s="18" t="n">
        <f aca="false">AVERAGE(D38:H38)</f>
        <v>4.8</v>
      </c>
      <c r="J38" s="13" t="s">
        <v>186</v>
      </c>
      <c r="K38" s="13" t="s">
        <v>302</v>
      </c>
      <c r="L38" s="13" t="s">
        <v>188</v>
      </c>
    </row>
    <row r="39" customFormat="false" ht="94.5" hidden="false" customHeight="true" outlineLevel="0" collapsed="false">
      <c r="A39" s="12" t="n">
        <v>36</v>
      </c>
      <c r="B39" s="13" t="s">
        <v>128</v>
      </c>
      <c r="C39" s="13" t="s">
        <v>189</v>
      </c>
      <c r="D39" s="21" t="n">
        <v>5</v>
      </c>
      <c r="E39" s="17" t="n">
        <v>4</v>
      </c>
      <c r="F39" s="21" t="n">
        <v>5</v>
      </c>
      <c r="G39" s="17" t="n">
        <v>4</v>
      </c>
      <c r="H39" s="21" t="n">
        <v>5</v>
      </c>
      <c r="I39" s="18" t="n">
        <f aca="false">AVERAGE(D39:H39)</f>
        <v>4.6</v>
      </c>
      <c r="J39" s="13" t="s">
        <v>190</v>
      </c>
      <c r="K39" s="13" t="s">
        <v>192</v>
      </c>
      <c r="L39" s="13" t="s">
        <v>192</v>
      </c>
    </row>
    <row r="40" customFormat="false" ht="94.5" hidden="false" customHeight="true" outlineLevel="0" collapsed="false">
      <c r="A40" s="12" t="n">
        <v>37</v>
      </c>
      <c r="B40" s="13" t="s">
        <v>128</v>
      </c>
      <c r="C40" s="13" t="s">
        <v>193</v>
      </c>
      <c r="D40" s="21" t="n">
        <v>5</v>
      </c>
      <c r="E40" s="17" t="n">
        <v>4</v>
      </c>
      <c r="F40" s="21" t="n">
        <v>5</v>
      </c>
      <c r="G40" s="17" t="n">
        <v>4</v>
      </c>
      <c r="H40" s="21" t="n">
        <v>5</v>
      </c>
      <c r="I40" s="18" t="n">
        <f aca="false">AVERAGE(D40:H40)</f>
        <v>4.6</v>
      </c>
      <c r="J40" s="13" t="s">
        <v>194</v>
      </c>
      <c r="K40" s="13" t="s">
        <v>303</v>
      </c>
      <c r="L40" s="13" t="s">
        <v>196</v>
      </c>
    </row>
    <row r="41" customFormat="false" ht="94.5" hidden="false" customHeight="true" outlineLevel="0" collapsed="false">
      <c r="A41" s="12" t="n">
        <v>38</v>
      </c>
      <c r="B41" s="13" t="s">
        <v>128</v>
      </c>
      <c r="C41" s="13" t="s">
        <v>197</v>
      </c>
      <c r="D41" s="21" t="n">
        <v>5</v>
      </c>
      <c r="E41" s="17" t="n">
        <v>4</v>
      </c>
      <c r="F41" s="21" t="n">
        <v>5</v>
      </c>
      <c r="G41" s="21" t="n">
        <v>5</v>
      </c>
      <c r="H41" s="21" t="n">
        <v>5</v>
      </c>
      <c r="I41" s="18" t="n">
        <f aca="false">AVERAGE(D41:H41)</f>
        <v>4.8</v>
      </c>
      <c r="J41" s="13" t="s">
        <v>198</v>
      </c>
      <c r="K41" s="13" t="s">
        <v>304</v>
      </c>
      <c r="L41" s="13" t="s">
        <v>200</v>
      </c>
    </row>
    <row r="42" customFormat="false" ht="94.5" hidden="false" customHeight="true" outlineLevel="0" collapsed="false">
      <c r="A42" s="12" t="n">
        <v>39</v>
      </c>
      <c r="B42" s="13" t="s">
        <v>128</v>
      </c>
      <c r="C42" s="13" t="s">
        <v>201</v>
      </c>
      <c r="D42" s="21" t="n">
        <v>5</v>
      </c>
      <c r="E42" s="17" t="n">
        <v>4</v>
      </c>
      <c r="F42" s="21" t="n">
        <v>5</v>
      </c>
      <c r="G42" s="17" t="n">
        <v>4</v>
      </c>
      <c r="H42" s="21" t="n">
        <v>5</v>
      </c>
      <c r="I42" s="18" t="n">
        <f aca="false">AVERAGE(D42:H42)</f>
        <v>4.6</v>
      </c>
      <c r="J42" s="13" t="s">
        <v>202</v>
      </c>
      <c r="K42" s="13" t="s">
        <v>305</v>
      </c>
      <c r="L42" s="13" t="s">
        <v>204</v>
      </c>
    </row>
    <row r="43" customFormat="false" ht="94.5" hidden="false" customHeight="true" outlineLevel="0" collapsed="false">
      <c r="A43" s="12" t="n">
        <v>40</v>
      </c>
      <c r="B43" s="13" t="s">
        <v>128</v>
      </c>
      <c r="C43" s="13" t="s">
        <v>205</v>
      </c>
      <c r="D43" s="16" t="n">
        <v>3</v>
      </c>
      <c r="E43" s="16" t="n">
        <v>3</v>
      </c>
      <c r="F43" s="16" t="n">
        <v>3</v>
      </c>
      <c r="G43" s="16" t="n">
        <v>3</v>
      </c>
      <c r="H43" s="17" t="n">
        <v>4</v>
      </c>
      <c r="I43" s="18" t="n">
        <f aca="false">AVERAGE(D43:H43)</f>
        <v>3.2</v>
      </c>
      <c r="J43" s="13" t="s">
        <v>206</v>
      </c>
      <c r="K43" s="13" t="s">
        <v>306</v>
      </c>
      <c r="L43" s="13" t="s">
        <v>208</v>
      </c>
    </row>
    <row r="44" customFormat="false" ht="94.5" hidden="false" customHeight="true" outlineLevel="0" collapsed="false">
      <c r="A44" s="12" t="n">
        <v>41</v>
      </c>
      <c r="B44" s="13" t="s">
        <v>128</v>
      </c>
      <c r="C44" s="13" t="s">
        <v>209</v>
      </c>
      <c r="D44" s="21" t="n">
        <v>5</v>
      </c>
      <c r="E44" s="21" t="n">
        <v>5</v>
      </c>
      <c r="F44" s="21" t="n">
        <v>5</v>
      </c>
      <c r="G44" s="17" t="n">
        <v>4</v>
      </c>
      <c r="H44" s="21" t="n">
        <v>5</v>
      </c>
      <c r="I44" s="18" t="n">
        <f aca="false">AVERAGE(D44:H44)</f>
        <v>4.8</v>
      </c>
      <c r="J44" s="13" t="s">
        <v>210</v>
      </c>
      <c r="K44" s="13" t="s">
        <v>307</v>
      </c>
      <c r="L44" s="13" t="s">
        <v>212</v>
      </c>
    </row>
    <row r="45" customFormat="false" ht="94.5" hidden="false" customHeight="true" outlineLevel="0" collapsed="false">
      <c r="A45" s="12" t="n">
        <v>42</v>
      </c>
      <c r="B45" s="13" t="s">
        <v>128</v>
      </c>
      <c r="C45" s="13" t="s">
        <v>213</v>
      </c>
      <c r="D45" s="21" t="n">
        <v>5</v>
      </c>
      <c r="E45" s="17" t="n">
        <v>4</v>
      </c>
      <c r="F45" s="21" t="n">
        <v>5</v>
      </c>
      <c r="G45" s="17" t="n">
        <v>4</v>
      </c>
      <c r="H45" s="21" t="n">
        <v>5</v>
      </c>
      <c r="I45" s="18" t="n">
        <f aca="false">AVERAGE(D45:H45)</f>
        <v>4.6</v>
      </c>
      <c r="J45" s="13" t="s">
        <v>214</v>
      </c>
      <c r="K45" s="13" t="s">
        <v>308</v>
      </c>
      <c r="L45" s="13" t="s">
        <v>216</v>
      </c>
    </row>
    <row r="46" customFormat="false" ht="94.5" hidden="false" customHeight="true" outlineLevel="0" collapsed="false">
      <c r="A46" s="12" t="n">
        <v>43</v>
      </c>
      <c r="B46" s="13" t="s">
        <v>128</v>
      </c>
      <c r="C46" s="13" t="s">
        <v>217</v>
      </c>
      <c r="D46" s="16" t="n">
        <v>3</v>
      </c>
      <c r="E46" s="14" t="n">
        <v>2</v>
      </c>
      <c r="F46" s="16" t="n">
        <v>3</v>
      </c>
      <c r="G46" s="16" t="n">
        <v>3</v>
      </c>
      <c r="H46" s="17" t="n">
        <v>4</v>
      </c>
      <c r="I46" s="18" t="n">
        <f aca="false">AVERAGE(D46:H46)</f>
        <v>3</v>
      </c>
      <c r="J46" s="13" t="s">
        <v>218</v>
      </c>
      <c r="K46" s="13" t="s">
        <v>309</v>
      </c>
      <c r="L46" s="13" t="s">
        <v>220</v>
      </c>
    </row>
    <row r="47" customFormat="false" ht="15" hidden="false" customHeight="false" outlineLevel="0" collapsed="false">
      <c r="A47" s="19"/>
      <c r="B47" s="19"/>
      <c r="C47" s="20" t="s">
        <v>221</v>
      </c>
      <c r="D47" s="8" t="n">
        <f aca="false">AVERAGE(D4:D46)</f>
        <v>3.65116279069767</v>
      </c>
      <c r="E47" s="8" t="n">
        <f aca="false">AVERAGE(E4:E46)</f>
        <v>3.06976744186047</v>
      </c>
      <c r="F47" s="8" t="n">
        <f aca="false">AVERAGE(F4:F46)</f>
        <v>3.76744186046512</v>
      </c>
      <c r="G47" s="8" t="n">
        <f aca="false">AVERAGE(G4:G46)</f>
        <v>3.34883720930233</v>
      </c>
      <c r="H47" s="8" t="n">
        <f aca="false">AVERAGE(H4:H46)</f>
        <v>4.23255813953488</v>
      </c>
      <c r="I47" s="8" t="n">
        <f aca="false">AVERAGE(I4:I46)</f>
        <v>3.61395348837209</v>
      </c>
      <c r="J47" s="19"/>
      <c r="K47" s="19"/>
      <c r="L47" s="1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0"/>
    <col collapsed="false" customWidth="true" hidden="false" outlineLevel="0" max="3" min="3" style="0" width="14"/>
    <col collapsed="false" customWidth="true" hidden="false" outlineLevel="0" max="4" min="4" style="0" width="11"/>
    <col collapsed="false" customWidth="true" hidden="false" outlineLevel="0" max="5" min="5" style="0" width="13"/>
    <col collapsed="false" customWidth="true" hidden="false" outlineLevel="0" max="6" min="6" style="0" width="11"/>
    <col collapsed="false" customWidth="true" hidden="false" outlineLevel="0" max="7" min="7" style="0" width="9"/>
    <col collapsed="false" customWidth="true" hidden="false" outlineLevel="0" max="8" min="8" style="0" width="32"/>
    <col collapsed="false" customWidth="true" hidden="false" outlineLevel="0" max="9" min="9" style="0" width="9"/>
  </cols>
  <sheetData>
    <row r="1" customFormat="false" ht="15" hidden="false" customHeight="false" outlineLevel="0" collapsed="false">
      <c r="A1" s="4" t="s">
        <v>39</v>
      </c>
      <c r="B1" s="4" t="s">
        <v>310</v>
      </c>
      <c r="C1" s="4" t="s">
        <v>311</v>
      </c>
      <c r="D1" s="4" t="s">
        <v>312</v>
      </c>
      <c r="E1" s="4" t="s">
        <v>313</v>
      </c>
      <c r="F1" s="4" t="s">
        <v>314</v>
      </c>
      <c r="G1" s="4" t="s">
        <v>315</v>
      </c>
      <c r="H1" s="4" t="s">
        <v>40</v>
      </c>
      <c r="I1" s="4" t="s">
        <v>316</v>
      </c>
    </row>
    <row r="2" customFormat="false" ht="15" hidden="false" customHeight="false" outlineLevel="0" collapsed="false">
      <c r="A2" s="22" t="n">
        <v>1</v>
      </c>
      <c r="B2" s="22" t="s">
        <v>317</v>
      </c>
      <c r="C2" s="22" t="n">
        <v>2</v>
      </c>
      <c r="D2" s="22" t="n">
        <v>2</v>
      </c>
      <c r="E2" s="22" t="n">
        <v>3</v>
      </c>
      <c r="F2" s="22" t="n">
        <v>2</v>
      </c>
      <c r="G2" s="22" t="n">
        <v>4</v>
      </c>
      <c r="H2" s="22" t="s">
        <v>318</v>
      </c>
      <c r="I2" s="23" t="n">
        <f aca="false">AVERAGE(C2:G2)</f>
        <v>2.6</v>
      </c>
    </row>
    <row r="3" customFormat="false" ht="15" hidden="false" customHeight="false" outlineLevel="0" collapsed="false">
      <c r="A3" s="22" t="n">
        <v>1</v>
      </c>
      <c r="B3" s="22" t="s">
        <v>319</v>
      </c>
      <c r="C3" s="22" t="n">
        <v>3</v>
      </c>
      <c r="D3" s="22" t="n">
        <v>3</v>
      </c>
      <c r="E3" s="22" t="n">
        <v>4</v>
      </c>
      <c r="F3" s="22" t="n">
        <v>3</v>
      </c>
      <c r="G3" s="22" t="n">
        <v>4</v>
      </c>
      <c r="H3" s="22" t="s">
        <v>318</v>
      </c>
      <c r="I3" s="23" t="n">
        <f aca="false">AVERAGE(C3:G3)</f>
        <v>3.4</v>
      </c>
    </row>
    <row r="4" customFormat="false" ht="15" hidden="false" customHeight="false" outlineLevel="0" collapsed="false">
      <c r="A4" s="22" t="n">
        <v>1</v>
      </c>
      <c r="B4" s="22" t="s">
        <v>320</v>
      </c>
      <c r="C4" s="22" t="n">
        <v>2</v>
      </c>
      <c r="D4" s="22" t="n">
        <v>1</v>
      </c>
      <c r="E4" s="22" t="n">
        <v>3</v>
      </c>
      <c r="F4" s="22" t="n">
        <v>3</v>
      </c>
      <c r="G4" s="22" t="n">
        <v>4</v>
      </c>
      <c r="H4" s="22" t="s">
        <v>318</v>
      </c>
      <c r="I4" s="23" t="n">
        <f aca="false">AVERAGE(C4:G4)</f>
        <v>2.6</v>
      </c>
    </row>
    <row r="5" customFormat="false" ht="15" hidden="false" customHeight="false" outlineLevel="0" collapsed="false">
      <c r="A5" s="22" t="n">
        <v>2</v>
      </c>
      <c r="B5" s="22" t="s">
        <v>317</v>
      </c>
      <c r="C5" s="22" t="n">
        <v>3</v>
      </c>
      <c r="D5" s="22" t="n">
        <v>2</v>
      </c>
      <c r="E5" s="22" t="n">
        <v>4</v>
      </c>
      <c r="F5" s="22" t="n">
        <v>3</v>
      </c>
      <c r="G5" s="22" t="n">
        <v>4</v>
      </c>
      <c r="H5" s="22" t="s">
        <v>318</v>
      </c>
      <c r="I5" s="23" t="n">
        <f aca="false">AVERAGE(C5:G5)</f>
        <v>3.2</v>
      </c>
    </row>
    <row r="6" customFormat="false" ht="15" hidden="false" customHeight="false" outlineLevel="0" collapsed="false">
      <c r="A6" s="22" t="n">
        <v>2</v>
      </c>
      <c r="B6" s="22" t="s">
        <v>319</v>
      </c>
      <c r="C6" s="22" t="n">
        <v>3</v>
      </c>
      <c r="D6" s="22" t="n">
        <v>3</v>
      </c>
      <c r="E6" s="22" t="n">
        <v>4</v>
      </c>
      <c r="F6" s="22" t="n">
        <v>3</v>
      </c>
      <c r="G6" s="22" t="n">
        <v>4</v>
      </c>
      <c r="H6" s="22" t="s">
        <v>318</v>
      </c>
      <c r="I6" s="23" t="n">
        <f aca="false">AVERAGE(C6:G6)</f>
        <v>3.4</v>
      </c>
    </row>
    <row r="7" customFormat="false" ht="15" hidden="false" customHeight="false" outlineLevel="0" collapsed="false">
      <c r="A7" s="22" t="n">
        <v>2</v>
      </c>
      <c r="B7" s="22" t="s">
        <v>320</v>
      </c>
      <c r="C7" s="22" t="n">
        <v>2</v>
      </c>
      <c r="D7" s="22" t="n">
        <v>1</v>
      </c>
      <c r="E7" s="22" t="n">
        <v>3</v>
      </c>
      <c r="F7" s="22" t="n">
        <v>2</v>
      </c>
      <c r="G7" s="22" t="n">
        <v>4</v>
      </c>
      <c r="H7" s="22" t="s">
        <v>318</v>
      </c>
      <c r="I7" s="23" t="n">
        <f aca="false">AVERAGE(C7:G7)</f>
        <v>2.4</v>
      </c>
    </row>
    <row r="8" customFormat="false" ht="15" hidden="false" customHeight="false" outlineLevel="0" collapsed="false">
      <c r="A8" s="22" t="n">
        <v>3</v>
      </c>
      <c r="B8" s="22" t="s">
        <v>317</v>
      </c>
      <c r="C8" s="22" t="n">
        <v>4</v>
      </c>
      <c r="D8" s="22" t="n">
        <v>3</v>
      </c>
      <c r="E8" s="22" t="n">
        <v>4</v>
      </c>
      <c r="F8" s="22" t="n">
        <v>4</v>
      </c>
      <c r="G8" s="22" t="n">
        <v>4</v>
      </c>
      <c r="H8" s="22" t="s">
        <v>318</v>
      </c>
      <c r="I8" s="23" t="n">
        <f aca="false">AVERAGE(C8:G8)</f>
        <v>3.8</v>
      </c>
    </row>
    <row r="9" customFormat="false" ht="15" hidden="false" customHeight="false" outlineLevel="0" collapsed="false">
      <c r="A9" s="22" t="n">
        <v>3</v>
      </c>
      <c r="B9" s="22" t="s">
        <v>319</v>
      </c>
      <c r="C9" s="22" t="n">
        <v>4</v>
      </c>
      <c r="D9" s="22" t="n">
        <v>4</v>
      </c>
      <c r="E9" s="22" t="n">
        <v>4</v>
      </c>
      <c r="F9" s="22" t="n">
        <v>4</v>
      </c>
      <c r="G9" s="22" t="n">
        <v>4</v>
      </c>
      <c r="H9" s="22" t="s">
        <v>318</v>
      </c>
      <c r="I9" s="23" t="n">
        <f aca="false">AVERAGE(C9:G9)</f>
        <v>4</v>
      </c>
    </row>
    <row r="10" customFormat="false" ht="15" hidden="false" customHeight="false" outlineLevel="0" collapsed="false">
      <c r="A10" s="22" t="n">
        <v>3</v>
      </c>
      <c r="B10" s="22" t="s">
        <v>320</v>
      </c>
      <c r="C10" s="22" t="n">
        <v>2</v>
      </c>
      <c r="D10" s="22" t="n">
        <v>1</v>
      </c>
      <c r="E10" s="22" t="n">
        <v>3</v>
      </c>
      <c r="F10" s="22" t="n">
        <v>2</v>
      </c>
      <c r="G10" s="22" t="n">
        <v>4</v>
      </c>
      <c r="H10" s="22" t="s">
        <v>318</v>
      </c>
      <c r="I10" s="23" t="n">
        <f aca="false">AVERAGE(C10:G10)</f>
        <v>2.4</v>
      </c>
    </row>
    <row r="11" customFormat="false" ht="15" hidden="false" customHeight="false" outlineLevel="0" collapsed="false">
      <c r="A11" s="22" t="n">
        <v>4</v>
      </c>
      <c r="B11" s="22" t="s">
        <v>317</v>
      </c>
      <c r="C11" s="22" t="n">
        <v>4</v>
      </c>
      <c r="D11" s="22" t="n">
        <v>3</v>
      </c>
      <c r="E11" s="22" t="n">
        <v>4</v>
      </c>
      <c r="F11" s="22" t="n">
        <v>4</v>
      </c>
      <c r="G11" s="22" t="n">
        <v>4</v>
      </c>
      <c r="H11" s="22" t="s">
        <v>318</v>
      </c>
      <c r="I11" s="23" t="n">
        <f aca="false">AVERAGE(C11:G11)</f>
        <v>3.8</v>
      </c>
    </row>
    <row r="12" customFormat="false" ht="15" hidden="false" customHeight="false" outlineLevel="0" collapsed="false">
      <c r="A12" s="22" t="n">
        <v>4</v>
      </c>
      <c r="B12" s="22" t="s">
        <v>319</v>
      </c>
      <c r="C12" s="22" t="n">
        <v>4</v>
      </c>
      <c r="D12" s="22" t="n">
        <v>3</v>
      </c>
      <c r="E12" s="22" t="n">
        <v>4</v>
      </c>
      <c r="F12" s="22" t="n">
        <v>4</v>
      </c>
      <c r="G12" s="22" t="n">
        <v>4</v>
      </c>
      <c r="H12" s="22" t="s">
        <v>318</v>
      </c>
      <c r="I12" s="23" t="n">
        <f aca="false">AVERAGE(C12:G12)</f>
        <v>3.8</v>
      </c>
    </row>
    <row r="13" customFormat="false" ht="15" hidden="false" customHeight="false" outlineLevel="0" collapsed="false">
      <c r="A13" s="22" t="n">
        <v>4</v>
      </c>
      <c r="B13" s="22" t="s">
        <v>320</v>
      </c>
      <c r="C13" s="22" t="n">
        <v>2</v>
      </c>
      <c r="D13" s="22" t="n">
        <v>1</v>
      </c>
      <c r="E13" s="22" t="n">
        <v>3</v>
      </c>
      <c r="F13" s="22" t="n">
        <v>2</v>
      </c>
      <c r="G13" s="22" t="n">
        <v>4</v>
      </c>
      <c r="H13" s="22" t="s">
        <v>318</v>
      </c>
      <c r="I13" s="23" t="n">
        <f aca="false">AVERAGE(C13:G13)</f>
        <v>2.4</v>
      </c>
    </row>
    <row r="14" customFormat="false" ht="15" hidden="false" customHeight="false" outlineLevel="0" collapsed="false">
      <c r="A14" s="22" t="n">
        <v>5</v>
      </c>
      <c r="B14" s="22" t="s">
        <v>317</v>
      </c>
      <c r="C14" s="22" t="n">
        <v>3</v>
      </c>
      <c r="D14" s="22" t="n">
        <v>2</v>
      </c>
      <c r="E14" s="22" t="n">
        <v>3</v>
      </c>
      <c r="F14" s="22" t="n">
        <v>3</v>
      </c>
      <c r="G14" s="22" t="n">
        <v>4</v>
      </c>
      <c r="H14" s="22" t="s">
        <v>318</v>
      </c>
      <c r="I14" s="23" t="n">
        <f aca="false">AVERAGE(C14:G14)</f>
        <v>3</v>
      </c>
    </row>
    <row r="15" customFormat="false" ht="15" hidden="false" customHeight="false" outlineLevel="0" collapsed="false">
      <c r="A15" s="22" t="n">
        <v>5</v>
      </c>
      <c r="B15" s="22" t="s">
        <v>319</v>
      </c>
      <c r="C15" s="22" t="n">
        <v>3</v>
      </c>
      <c r="D15" s="22" t="n">
        <v>2</v>
      </c>
      <c r="E15" s="22" t="n">
        <v>3</v>
      </c>
      <c r="F15" s="22" t="n">
        <v>3</v>
      </c>
      <c r="G15" s="22" t="n">
        <v>4</v>
      </c>
      <c r="H15" s="22" t="s">
        <v>318</v>
      </c>
      <c r="I15" s="23" t="n">
        <f aca="false">AVERAGE(C15:G15)</f>
        <v>3</v>
      </c>
    </row>
    <row r="16" customFormat="false" ht="15" hidden="false" customHeight="false" outlineLevel="0" collapsed="false">
      <c r="A16" s="22" t="n">
        <v>5</v>
      </c>
      <c r="B16" s="22" t="s">
        <v>320</v>
      </c>
      <c r="C16" s="22" t="n">
        <v>2</v>
      </c>
      <c r="D16" s="22" t="n">
        <v>1</v>
      </c>
      <c r="E16" s="22" t="n">
        <v>3</v>
      </c>
      <c r="F16" s="22" t="n">
        <v>2</v>
      </c>
      <c r="G16" s="22" t="n">
        <v>4</v>
      </c>
      <c r="H16" s="22" t="s">
        <v>318</v>
      </c>
      <c r="I16" s="23" t="n">
        <f aca="false">AVERAGE(C16:G16)</f>
        <v>2.4</v>
      </c>
    </row>
    <row r="17" customFormat="false" ht="15" hidden="false" customHeight="false" outlineLevel="0" collapsed="false">
      <c r="A17" s="22" t="n">
        <v>6</v>
      </c>
      <c r="B17" s="22" t="s">
        <v>317</v>
      </c>
      <c r="C17" s="22" t="n">
        <v>3</v>
      </c>
      <c r="D17" s="22" t="n">
        <v>3</v>
      </c>
      <c r="E17" s="22" t="n">
        <v>3</v>
      </c>
      <c r="F17" s="22" t="n">
        <v>3</v>
      </c>
      <c r="G17" s="22" t="n">
        <v>4</v>
      </c>
      <c r="H17" s="22" t="s">
        <v>318</v>
      </c>
      <c r="I17" s="23" t="n">
        <f aca="false">AVERAGE(C17:G17)</f>
        <v>3.2</v>
      </c>
    </row>
    <row r="18" customFormat="false" ht="15" hidden="false" customHeight="false" outlineLevel="0" collapsed="false">
      <c r="A18" s="22" t="n">
        <v>6</v>
      </c>
      <c r="B18" s="22" t="s">
        <v>319</v>
      </c>
      <c r="C18" s="22" t="n">
        <v>4</v>
      </c>
      <c r="D18" s="22" t="n">
        <v>4</v>
      </c>
      <c r="E18" s="22" t="n">
        <v>4</v>
      </c>
      <c r="F18" s="22" t="n">
        <v>4</v>
      </c>
      <c r="G18" s="22" t="n">
        <v>4</v>
      </c>
      <c r="H18" s="22" t="s">
        <v>318</v>
      </c>
      <c r="I18" s="23" t="n">
        <f aca="false">AVERAGE(C18:G18)</f>
        <v>4</v>
      </c>
    </row>
    <row r="19" customFormat="false" ht="15" hidden="false" customHeight="false" outlineLevel="0" collapsed="false">
      <c r="A19" s="22" t="n">
        <v>6</v>
      </c>
      <c r="B19" s="22" t="s">
        <v>320</v>
      </c>
      <c r="C19" s="22" t="n">
        <v>2</v>
      </c>
      <c r="D19" s="22" t="n">
        <v>1</v>
      </c>
      <c r="E19" s="22" t="n">
        <v>2</v>
      </c>
      <c r="F19" s="22" t="n">
        <v>2</v>
      </c>
      <c r="G19" s="22" t="n">
        <v>4</v>
      </c>
      <c r="H19" s="22" t="s">
        <v>318</v>
      </c>
      <c r="I19" s="23" t="n">
        <f aca="false">AVERAGE(C19:G19)</f>
        <v>2.2</v>
      </c>
    </row>
    <row r="20" customFormat="false" ht="15" hidden="false" customHeight="false" outlineLevel="0" collapsed="false">
      <c r="A20" s="22" t="n">
        <v>7</v>
      </c>
      <c r="B20" s="22" t="s">
        <v>317</v>
      </c>
      <c r="C20" s="22" t="n">
        <v>4</v>
      </c>
      <c r="D20" s="22" t="n">
        <v>4</v>
      </c>
      <c r="E20" s="22" t="n">
        <v>4</v>
      </c>
      <c r="F20" s="22" t="n">
        <v>3</v>
      </c>
      <c r="G20" s="22" t="n">
        <v>4</v>
      </c>
      <c r="H20" s="22" t="s">
        <v>318</v>
      </c>
      <c r="I20" s="23" t="n">
        <f aca="false">AVERAGE(C20:G20)</f>
        <v>3.8</v>
      </c>
    </row>
    <row r="21" customFormat="false" ht="15" hidden="false" customHeight="false" outlineLevel="0" collapsed="false">
      <c r="A21" s="22" t="n">
        <v>7</v>
      </c>
      <c r="B21" s="22" t="s">
        <v>319</v>
      </c>
      <c r="C21" s="22" t="n">
        <v>4</v>
      </c>
      <c r="D21" s="22" t="n">
        <v>4</v>
      </c>
      <c r="E21" s="22" t="n">
        <v>4</v>
      </c>
      <c r="F21" s="22" t="n">
        <v>3</v>
      </c>
      <c r="G21" s="22" t="n">
        <v>4</v>
      </c>
      <c r="H21" s="22" t="s">
        <v>318</v>
      </c>
      <c r="I21" s="23" t="n">
        <f aca="false">AVERAGE(C21:G21)</f>
        <v>3.8</v>
      </c>
    </row>
    <row r="22" customFormat="false" ht="15" hidden="false" customHeight="false" outlineLevel="0" collapsed="false">
      <c r="A22" s="22" t="n">
        <v>7</v>
      </c>
      <c r="B22" s="22" t="s">
        <v>320</v>
      </c>
      <c r="C22" s="22" t="n">
        <v>2</v>
      </c>
      <c r="D22" s="22" t="n">
        <v>1</v>
      </c>
      <c r="E22" s="22" t="n">
        <v>2</v>
      </c>
      <c r="F22" s="22" t="n">
        <v>2</v>
      </c>
      <c r="G22" s="22" t="n">
        <v>3</v>
      </c>
      <c r="H22" s="22" t="s">
        <v>318</v>
      </c>
      <c r="I22" s="23" t="n">
        <f aca="false">AVERAGE(C22:G22)</f>
        <v>2</v>
      </c>
    </row>
    <row r="23" customFormat="false" ht="15" hidden="false" customHeight="false" outlineLevel="0" collapsed="false">
      <c r="A23" s="22" t="n">
        <v>8</v>
      </c>
      <c r="B23" s="22" t="s">
        <v>317</v>
      </c>
      <c r="C23" s="22" t="n">
        <v>4</v>
      </c>
      <c r="D23" s="22" t="n">
        <v>3</v>
      </c>
      <c r="E23" s="22" t="n">
        <v>4</v>
      </c>
      <c r="F23" s="22" t="n">
        <v>4</v>
      </c>
      <c r="G23" s="22" t="n">
        <v>4</v>
      </c>
      <c r="H23" s="22" t="s">
        <v>318</v>
      </c>
      <c r="I23" s="23" t="n">
        <f aca="false">AVERAGE(C23:G23)</f>
        <v>3.8</v>
      </c>
    </row>
    <row r="24" customFormat="false" ht="15" hidden="false" customHeight="false" outlineLevel="0" collapsed="false">
      <c r="A24" s="22" t="n">
        <v>8</v>
      </c>
      <c r="B24" s="22" t="s">
        <v>319</v>
      </c>
      <c r="C24" s="22" t="n">
        <v>4</v>
      </c>
      <c r="D24" s="22" t="n">
        <v>3</v>
      </c>
      <c r="E24" s="22" t="n">
        <v>4</v>
      </c>
      <c r="F24" s="22" t="n">
        <v>4</v>
      </c>
      <c r="G24" s="22" t="n">
        <v>4</v>
      </c>
      <c r="H24" s="22" t="s">
        <v>318</v>
      </c>
      <c r="I24" s="23" t="n">
        <f aca="false">AVERAGE(C24:G24)</f>
        <v>3.8</v>
      </c>
    </row>
    <row r="25" customFormat="false" ht="15" hidden="false" customHeight="false" outlineLevel="0" collapsed="false">
      <c r="A25" s="22" t="n">
        <v>8</v>
      </c>
      <c r="B25" s="22" t="s">
        <v>320</v>
      </c>
      <c r="C25" s="22" t="n">
        <v>3</v>
      </c>
      <c r="D25" s="22" t="n">
        <v>2</v>
      </c>
      <c r="E25" s="22" t="n">
        <v>3</v>
      </c>
      <c r="F25" s="22" t="n">
        <v>3</v>
      </c>
      <c r="G25" s="22" t="n">
        <v>4</v>
      </c>
      <c r="H25" s="22" t="s">
        <v>318</v>
      </c>
      <c r="I25" s="23" t="n">
        <f aca="false">AVERAGE(C25:G25)</f>
        <v>3</v>
      </c>
    </row>
    <row r="26" customFormat="false" ht="15" hidden="false" customHeight="false" outlineLevel="0" collapsed="false">
      <c r="A26" s="22" t="n">
        <v>9</v>
      </c>
      <c r="B26" s="22" t="s">
        <v>317</v>
      </c>
      <c r="C26" s="22" t="n">
        <v>2</v>
      </c>
      <c r="D26" s="22" t="n">
        <v>1</v>
      </c>
      <c r="E26" s="22" t="n">
        <v>2</v>
      </c>
      <c r="F26" s="22" t="n">
        <v>2</v>
      </c>
      <c r="G26" s="22" t="n">
        <v>3</v>
      </c>
      <c r="H26" s="22" t="s">
        <v>318</v>
      </c>
      <c r="I26" s="23" t="n">
        <f aca="false">AVERAGE(C26:G26)</f>
        <v>2</v>
      </c>
    </row>
    <row r="27" customFormat="false" ht="15" hidden="false" customHeight="false" outlineLevel="0" collapsed="false">
      <c r="A27" s="22" t="n">
        <v>9</v>
      </c>
      <c r="B27" s="22" t="s">
        <v>319</v>
      </c>
      <c r="C27" s="22" t="n">
        <v>3</v>
      </c>
      <c r="D27" s="22" t="n">
        <v>3</v>
      </c>
      <c r="E27" s="22" t="n">
        <v>3</v>
      </c>
      <c r="F27" s="22" t="n">
        <v>3</v>
      </c>
      <c r="G27" s="22" t="n">
        <v>4</v>
      </c>
      <c r="H27" s="22" t="s">
        <v>318</v>
      </c>
      <c r="I27" s="23" t="n">
        <f aca="false">AVERAGE(C27:G27)</f>
        <v>3.2</v>
      </c>
    </row>
    <row r="28" customFormat="false" ht="15" hidden="false" customHeight="false" outlineLevel="0" collapsed="false">
      <c r="A28" s="22" t="n">
        <v>9</v>
      </c>
      <c r="B28" s="22" t="s">
        <v>320</v>
      </c>
      <c r="C28" s="22" t="n">
        <v>2</v>
      </c>
      <c r="D28" s="22" t="n">
        <v>1</v>
      </c>
      <c r="E28" s="22" t="n">
        <v>2</v>
      </c>
      <c r="F28" s="22" t="n">
        <v>2</v>
      </c>
      <c r="G28" s="22" t="n">
        <v>3</v>
      </c>
      <c r="H28" s="22" t="s">
        <v>318</v>
      </c>
      <c r="I28" s="23" t="n">
        <f aca="false">AVERAGE(C28:G28)</f>
        <v>2</v>
      </c>
    </row>
    <row r="29" customFormat="false" ht="15" hidden="false" customHeight="false" outlineLevel="0" collapsed="false">
      <c r="A29" s="22" t="n">
        <v>10</v>
      </c>
      <c r="B29" s="22" t="s">
        <v>317</v>
      </c>
      <c r="C29" s="22" t="n">
        <v>3</v>
      </c>
      <c r="D29" s="22" t="n">
        <v>2</v>
      </c>
      <c r="E29" s="22" t="n">
        <v>3</v>
      </c>
      <c r="F29" s="22" t="n">
        <v>3</v>
      </c>
      <c r="G29" s="22" t="n">
        <v>4</v>
      </c>
      <c r="H29" s="22" t="s">
        <v>318</v>
      </c>
      <c r="I29" s="23" t="n">
        <f aca="false">AVERAGE(C29:G29)</f>
        <v>3</v>
      </c>
    </row>
    <row r="30" customFormat="false" ht="15" hidden="false" customHeight="false" outlineLevel="0" collapsed="false">
      <c r="A30" s="22" t="n">
        <v>10</v>
      </c>
      <c r="B30" s="22" t="s">
        <v>319</v>
      </c>
      <c r="C30" s="22" t="n">
        <v>3</v>
      </c>
      <c r="D30" s="22" t="n">
        <v>3</v>
      </c>
      <c r="E30" s="22" t="n">
        <v>4</v>
      </c>
      <c r="F30" s="22" t="n">
        <v>3</v>
      </c>
      <c r="G30" s="22" t="n">
        <v>4</v>
      </c>
      <c r="H30" s="22" t="s">
        <v>318</v>
      </c>
      <c r="I30" s="23" t="n">
        <f aca="false">AVERAGE(C30:G30)</f>
        <v>3.4</v>
      </c>
    </row>
    <row r="31" customFormat="false" ht="15" hidden="false" customHeight="false" outlineLevel="0" collapsed="false">
      <c r="A31" s="22" t="n">
        <v>10</v>
      </c>
      <c r="B31" s="22" t="s">
        <v>320</v>
      </c>
      <c r="C31" s="22" t="n">
        <v>2</v>
      </c>
      <c r="D31" s="22" t="n">
        <v>1</v>
      </c>
      <c r="E31" s="22" t="n">
        <v>3</v>
      </c>
      <c r="F31" s="22" t="n">
        <v>2</v>
      </c>
      <c r="G31" s="22" t="n">
        <v>4</v>
      </c>
      <c r="H31" s="22" t="s">
        <v>318</v>
      </c>
      <c r="I31" s="23" t="n">
        <f aca="false">AVERAGE(C31:G31)</f>
        <v>2.4</v>
      </c>
    </row>
    <row r="32" customFormat="false" ht="15" hidden="false" customHeight="false" outlineLevel="0" collapsed="false">
      <c r="A32" s="22" t="n">
        <v>11</v>
      </c>
      <c r="B32" s="22" t="s">
        <v>317</v>
      </c>
      <c r="C32" s="22" t="n">
        <v>4</v>
      </c>
      <c r="D32" s="22" t="n">
        <v>4</v>
      </c>
      <c r="E32" s="22" t="n">
        <v>4</v>
      </c>
      <c r="F32" s="22" t="n">
        <v>4</v>
      </c>
      <c r="G32" s="22" t="n">
        <v>4</v>
      </c>
      <c r="H32" s="22" t="s">
        <v>318</v>
      </c>
      <c r="I32" s="23" t="n">
        <f aca="false">AVERAGE(C32:G32)</f>
        <v>4</v>
      </c>
    </row>
    <row r="33" customFormat="false" ht="15" hidden="false" customHeight="false" outlineLevel="0" collapsed="false">
      <c r="A33" s="22" t="n">
        <v>11</v>
      </c>
      <c r="B33" s="22" t="s">
        <v>319</v>
      </c>
      <c r="C33" s="22" t="n">
        <v>4</v>
      </c>
      <c r="D33" s="22" t="n">
        <v>4</v>
      </c>
      <c r="E33" s="22" t="n">
        <v>4</v>
      </c>
      <c r="F33" s="22" t="n">
        <v>4</v>
      </c>
      <c r="G33" s="22" t="n">
        <v>4</v>
      </c>
      <c r="H33" s="22" t="s">
        <v>318</v>
      </c>
      <c r="I33" s="23" t="n">
        <f aca="false">AVERAGE(C33:G33)</f>
        <v>4</v>
      </c>
    </row>
    <row r="34" customFormat="false" ht="15" hidden="false" customHeight="false" outlineLevel="0" collapsed="false">
      <c r="A34" s="22" t="n">
        <v>11</v>
      </c>
      <c r="B34" s="22" t="s">
        <v>320</v>
      </c>
      <c r="C34" s="22" t="n">
        <v>2</v>
      </c>
      <c r="D34" s="22" t="n">
        <v>1</v>
      </c>
      <c r="E34" s="22" t="n">
        <v>3</v>
      </c>
      <c r="F34" s="22" t="n">
        <v>2</v>
      </c>
      <c r="G34" s="22" t="n">
        <v>3</v>
      </c>
      <c r="H34" s="22" t="s">
        <v>318</v>
      </c>
      <c r="I34" s="23" t="n">
        <f aca="false">AVERAGE(C34:G34)</f>
        <v>2.2</v>
      </c>
    </row>
    <row r="35" customFormat="false" ht="15" hidden="false" customHeight="false" outlineLevel="0" collapsed="false">
      <c r="A35" s="22" t="n">
        <v>12</v>
      </c>
      <c r="B35" s="22" t="s">
        <v>317</v>
      </c>
      <c r="C35" s="22" t="n">
        <v>3</v>
      </c>
      <c r="D35" s="22" t="n">
        <v>2</v>
      </c>
      <c r="E35" s="22" t="n">
        <v>3</v>
      </c>
      <c r="F35" s="22" t="n">
        <v>3</v>
      </c>
      <c r="G35" s="22" t="n">
        <v>4</v>
      </c>
      <c r="H35" s="22" t="s">
        <v>318</v>
      </c>
      <c r="I35" s="23" t="n">
        <f aca="false">AVERAGE(C35:G35)</f>
        <v>3</v>
      </c>
    </row>
    <row r="36" customFormat="false" ht="15" hidden="false" customHeight="false" outlineLevel="0" collapsed="false">
      <c r="A36" s="22" t="n">
        <v>12</v>
      </c>
      <c r="B36" s="22" t="s">
        <v>319</v>
      </c>
      <c r="C36" s="22" t="n">
        <v>2</v>
      </c>
      <c r="D36" s="22" t="n">
        <v>1</v>
      </c>
      <c r="E36" s="22" t="n">
        <v>2</v>
      </c>
      <c r="F36" s="22" t="n">
        <v>2</v>
      </c>
      <c r="G36" s="22" t="n">
        <v>3</v>
      </c>
      <c r="H36" s="22" t="s">
        <v>318</v>
      </c>
      <c r="I36" s="23" t="n">
        <f aca="false">AVERAGE(C36:G36)</f>
        <v>2</v>
      </c>
    </row>
    <row r="37" customFormat="false" ht="15" hidden="false" customHeight="false" outlineLevel="0" collapsed="false">
      <c r="A37" s="22" t="n">
        <v>12</v>
      </c>
      <c r="B37" s="22" t="s">
        <v>320</v>
      </c>
      <c r="C37" s="22" t="n">
        <v>3</v>
      </c>
      <c r="D37" s="22" t="n">
        <v>2</v>
      </c>
      <c r="E37" s="22" t="n">
        <v>3</v>
      </c>
      <c r="F37" s="22" t="n">
        <v>2</v>
      </c>
      <c r="G37" s="22" t="n">
        <v>4</v>
      </c>
      <c r="H37" s="22" t="s">
        <v>318</v>
      </c>
      <c r="I37" s="23" t="n">
        <f aca="false">AVERAGE(C37:G37)</f>
        <v>2.8</v>
      </c>
    </row>
    <row r="38" customFormat="false" ht="15" hidden="false" customHeight="false" outlineLevel="0" collapsed="false">
      <c r="A38" s="22" t="n">
        <v>13</v>
      </c>
      <c r="B38" s="22" t="s">
        <v>317</v>
      </c>
      <c r="C38" s="22" t="n">
        <v>2</v>
      </c>
      <c r="D38" s="22" t="n">
        <v>1</v>
      </c>
      <c r="E38" s="22" t="n">
        <v>3</v>
      </c>
      <c r="F38" s="22" t="n">
        <v>2</v>
      </c>
      <c r="G38" s="22" t="n">
        <v>3</v>
      </c>
      <c r="H38" s="22" t="s">
        <v>321</v>
      </c>
      <c r="I38" s="23" t="n">
        <f aca="false">AVERAGE(C38:G38)</f>
        <v>2.2</v>
      </c>
    </row>
    <row r="39" customFormat="false" ht="15" hidden="false" customHeight="false" outlineLevel="0" collapsed="false">
      <c r="A39" s="22" t="n">
        <v>13</v>
      </c>
      <c r="B39" s="22" t="s">
        <v>319</v>
      </c>
      <c r="C39" s="22" t="n">
        <v>3</v>
      </c>
      <c r="D39" s="22" t="n">
        <v>2</v>
      </c>
      <c r="E39" s="22" t="n">
        <v>3</v>
      </c>
      <c r="F39" s="22" t="n">
        <v>3</v>
      </c>
      <c r="G39" s="22" t="n">
        <v>4</v>
      </c>
      <c r="H39" s="22" t="s">
        <v>321</v>
      </c>
      <c r="I39" s="23" t="n">
        <f aca="false">AVERAGE(C39:G39)</f>
        <v>3</v>
      </c>
    </row>
    <row r="40" customFormat="false" ht="15" hidden="false" customHeight="false" outlineLevel="0" collapsed="false">
      <c r="A40" s="22" t="n">
        <v>13</v>
      </c>
      <c r="B40" s="22" t="s">
        <v>320</v>
      </c>
      <c r="C40" s="22" t="n">
        <v>2</v>
      </c>
      <c r="D40" s="22" t="n">
        <v>1</v>
      </c>
      <c r="E40" s="22" t="n">
        <v>3</v>
      </c>
      <c r="F40" s="22" t="n">
        <v>2</v>
      </c>
      <c r="G40" s="22" t="n">
        <v>4</v>
      </c>
      <c r="H40" s="22" t="s">
        <v>321</v>
      </c>
      <c r="I40" s="23" t="n">
        <f aca="false">AVERAGE(C40:G40)</f>
        <v>2.4</v>
      </c>
    </row>
    <row r="41" customFormat="false" ht="15" hidden="false" customHeight="false" outlineLevel="0" collapsed="false">
      <c r="A41" s="22" t="n">
        <v>14</v>
      </c>
      <c r="B41" s="22" t="s">
        <v>317</v>
      </c>
      <c r="C41" s="22" t="n">
        <v>5</v>
      </c>
      <c r="D41" s="22" t="n">
        <v>4</v>
      </c>
      <c r="E41" s="22" t="n">
        <v>5</v>
      </c>
      <c r="F41" s="22" t="n">
        <v>4</v>
      </c>
      <c r="G41" s="22" t="n">
        <v>5</v>
      </c>
      <c r="H41" s="22" t="s">
        <v>321</v>
      </c>
      <c r="I41" s="23" t="n">
        <f aca="false">AVERAGE(C41:G41)</f>
        <v>4.6</v>
      </c>
    </row>
    <row r="42" customFormat="false" ht="15" hidden="false" customHeight="false" outlineLevel="0" collapsed="false">
      <c r="A42" s="22" t="n">
        <v>14</v>
      </c>
      <c r="B42" s="22" t="s">
        <v>319</v>
      </c>
      <c r="C42" s="22" t="n">
        <v>5</v>
      </c>
      <c r="D42" s="22" t="n">
        <v>5</v>
      </c>
      <c r="E42" s="22" t="n">
        <v>5</v>
      </c>
      <c r="F42" s="22" t="n">
        <v>4</v>
      </c>
      <c r="G42" s="22" t="n">
        <v>5</v>
      </c>
      <c r="H42" s="22" t="s">
        <v>321</v>
      </c>
      <c r="I42" s="23" t="n">
        <f aca="false">AVERAGE(C42:G42)</f>
        <v>4.8</v>
      </c>
    </row>
    <row r="43" customFormat="false" ht="15" hidden="false" customHeight="false" outlineLevel="0" collapsed="false">
      <c r="A43" s="22" t="n">
        <v>14</v>
      </c>
      <c r="B43" s="22" t="s">
        <v>320</v>
      </c>
      <c r="C43" s="22" t="n">
        <v>2</v>
      </c>
      <c r="D43" s="22" t="n">
        <v>1</v>
      </c>
      <c r="E43" s="22" t="n">
        <v>3</v>
      </c>
      <c r="F43" s="22" t="n">
        <v>2</v>
      </c>
      <c r="G43" s="22" t="n">
        <v>4</v>
      </c>
      <c r="H43" s="22" t="s">
        <v>321</v>
      </c>
      <c r="I43" s="23" t="n">
        <f aca="false">AVERAGE(C43:G43)</f>
        <v>2.4</v>
      </c>
    </row>
    <row r="44" customFormat="false" ht="15" hidden="false" customHeight="false" outlineLevel="0" collapsed="false">
      <c r="A44" s="22" t="n">
        <v>15</v>
      </c>
      <c r="B44" s="22" t="s">
        <v>317</v>
      </c>
      <c r="C44" s="22" t="n">
        <v>4</v>
      </c>
      <c r="D44" s="22" t="n">
        <v>3</v>
      </c>
      <c r="E44" s="22" t="n">
        <v>4</v>
      </c>
      <c r="F44" s="22" t="n">
        <v>4</v>
      </c>
      <c r="G44" s="22" t="n">
        <v>4</v>
      </c>
      <c r="H44" s="22" t="s">
        <v>321</v>
      </c>
      <c r="I44" s="23" t="n">
        <f aca="false">AVERAGE(C44:G44)</f>
        <v>3.8</v>
      </c>
    </row>
    <row r="45" customFormat="false" ht="15" hidden="false" customHeight="false" outlineLevel="0" collapsed="false">
      <c r="A45" s="22" t="n">
        <v>15</v>
      </c>
      <c r="B45" s="22" t="s">
        <v>319</v>
      </c>
      <c r="C45" s="22" t="n">
        <v>4</v>
      </c>
      <c r="D45" s="22" t="n">
        <v>3</v>
      </c>
      <c r="E45" s="22" t="n">
        <v>4</v>
      </c>
      <c r="F45" s="22" t="n">
        <v>4</v>
      </c>
      <c r="G45" s="22" t="n">
        <v>4</v>
      </c>
      <c r="H45" s="22" t="s">
        <v>321</v>
      </c>
      <c r="I45" s="23" t="n">
        <f aca="false">AVERAGE(C45:G45)</f>
        <v>3.8</v>
      </c>
    </row>
    <row r="46" customFormat="false" ht="15" hidden="false" customHeight="false" outlineLevel="0" collapsed="false">
      <c r="A46" s="22" t="n">
        <v>15</v>
      </c>
      <c r="B46" s="22" t="s">
        <v>320</v>
      </c>
      <c r="C46" s="22" t="n">
        <v>2</v>
      </c>
      <c r="D46" s="22" t="n">
        <v>1</v>
      </c>
      <c r="E46" s="22" t="n">
        <v>3</v>
      </c>
      <c r="F46" s="22" t="n">
        <v>2</v>
      </c>
      <c r="G46" s="22" t="n">
        <v>4</v>
      </c>
      <c r="H46" s="22" t="s">
        <v>321</v>
      </c>
      <c r="I46" s="23" t="n">
        <f aca="false">AVERAGE(C46:G46)</f>
        <v>2.4</v>
      </c>
    </row>
    <row r="47" customFormat="false" ht="15" hidden="false" customHeight="false" outlineLevel="0" collapsed="false">
      <c r="A47" s="22" t="n">
        <v>16</v>
      </c>
      <c r="B47" s="22" t="s">
        <v>317</v>
      </c>
      <c r="C47" s="22" t="n">
        <v>3</v>
      </c>
      <c r="D47" s="22" t="n">
        <v>2</v>
      </c>
      <c r="E47" s="22" t="n">
        <v>3</v>
      </c>
      <c r="F47" s="22" t="n">
        <v>3</v>
      </c>
      <c r="G47" s="22" t="n">
        <v>4</v>
      </c>
      <c r="H47" s="22" t="s">
        <v>321</v>
      </c>
      <c r="I47" s="23" t="n">
        <f aca="false">AVERAGE(C47:G47)</f>
        <v>3</v>
      </c>
    </row>
    <row r="48" customFormat="false" ht="15" hidden="false" customHeight="false" outlineLevel="0" collapsed="false">
      <c r="A48" s="22" t="n">
        <v>16</v>
      </c>
      <c r="B48" s="22" t="s">
        <v>319</v>
      </c>
      <c r="C48" s="22" t="n">
        <v>5</v>
      </c>
      <c r="D48" s="22" t="n">
        <v>5</v>
      </c>
      <c r="E48" s="22" t="n">
        <v>5</v>
      </c>
      <c r="F48" s="22" t="n">
        <v>5</v>
      </c>
      <c r="G48" s="22" t="n">
        <v>5</v>
      </c>
      <c r="H48" s="22" t="s">
        <v>321</v>
      </c>
      <c r="I48" s="23" t="n">
        <f aca="false">AVERAGE(C48:G48)</f>
        <v>5</v>
      </c>
    </row>
    <row r="49" customFormat="false" ht="15" hidden="false" customHeight="false" outlineLevel="0" collapsed="false">
      <c r="A49" s="22" t="n">
        <v>16</v>
      </c>
      <c r="B49" s="22" t="s">
        <v>320</v>
      </c>
      <c r="C49" s="22" t="n">
        <v>2</v>
      </c>
      <c r="D49" s="22" t="n">
        <v>1</v>
      </c>
      <c r="E49" s="22" t="n">
        <v>3</v>
      </c>
      <c r="F49" s="22" t="n">
        <v>2</v>
      </c>
      <c r="G49" s="22" t="n">
        <v>4</v>
      </c>
      <c r="H49" s="22" t="s">
        <v>321</v>
      </c>
      <c r="I49" s="23" t="n">
        <f aca="false">AVERAGE(C49:G49)</f>
        <v>2.4</v>
      </c>
    </row>
    <row r="50" customFormat="false" ht="15" hidden="false" customHeight="false" outlineLevel="0" collapsed="false">
      <c r="A50" s="22" t="n">
        <v>17</v>
      </c>
      <c r="B50" s="22" t="s">
        <v>317</v>
      </c>
      <c r="C50" s="22" t="n">
        <v>3</v>
      </c>
      <c r="D50" s="22" t="n">
        <v>2</v>
      </c>
      <c r="E50" s="22" t="n">
        <v>3</v>
      </c>
      <c r="F50" s="22" t="n">
        <v>3</v>
      </c>
      <c r="G50" s="22" t="n">
        <v>4</v>
      </c>
      <c r="H50" s="22" t="s">
        <v>321</v>
      </c>
      <c r="I50" s="23" t="n">
        <f aca="false">AVERAGE(C50:G50)</f>
        <v>3</v>
      </c>
    </row>
    <row r="51" customFormat="false" ht="15" hidden="false" customHeight="false" outlineLevel="0" collapsed="false">
      <c r="A51" s="22" t="n">
        <v>17</v>
      </c>
      <c r="B51" s="22" t="s">
        <v>319</v>
      </c>
      <c r="C51" s="22" t="n">
        <v>3</v>
      </c>
      <c r="D51" s="22" t="n">
        <v>2</v>
      </c>
      <c r="E51" s="22" t="n">
        <v>3</v>
      </c>
      <c r="F51" s="22" t="n">
        <v>3</v>
      </c>
      <c r="G51" s="22" t="n">
        <v>4</v>
      </c>
      <c r="H51" s="22" t="s">
        <v>321</v>
      </c>
      <c r="I51" s="23" t="n">
        <f aca="false">AVERAGE(C51:G51)</f>
        <v>3</v>
      </c>
    </row>
    <row r="52" customFormat="false" ht="15" hidden="false" customHeight="false" outlineLevel="0" collapsed="false">
      <c r="A52" s="22" t="n">
        <v>17</v>
      </c>
      <c r="B52" s="22" t="s">
        <v>320</v>
      </c>
      <c r="C52" s="22" t="n">
        <v>2</v>
      </c>
      <c r="D52" s="22" t="n">
        <v>1</v>
      </c>
      <c r="E52" s="22" t="n">
        <v>3</v>
      </c>
      <c r="F52" s="22" t="n">
        <v>2</v>
      </c>
      <c r="G52" s="22" t="n">
        <v>4</v>
      </c>
      <c r="H52" s="22" t="s">
        <v>321</v>
      </c>
      <c r="I52" s="23" t="n">
        <f aca="false">AVERAGE(C52:G52)</f>
        <v>2.4</v>
      </c>
    </row>
    <row r="53" customFormat="false" ht="15" hidden="false" customHeight="false" outlineLevel="0" collapsed="false">
      <c r="A53" s="22" t="n">
        <v>18</v>
      </c>
      <c r="B53" s="22" t="s">
        <v>317</v>
      </c>
      <c r="C53" s="22" t="n">
        <v>3</v>
      </c>
      <c r="D53" s="22" t="n">
        <v>3</v>
      </c>
      <c r="E53" s="22" t="n">
        <v>3</v>
      </c>
      <c r="F53" s="22" t="n">
        <v>3</v>
      </c>
      <c r="G53" s="22" t="n">
        <v>4</v>
      </c>
      <c r="H53" s="22" t="s">
        <v>321</v>
      </c>
      <c r="I53" s="23" t="n">
        <f aca="false">AVERAGE(C53:G53)</f>
        <v>3.2</v>
      </c>
    </row>
    <row r="54" customFormat="false" ht="15" hidden="false" customHeight="false" outlineLevel="0" collapsed="false">
      <c r="A54" s="22" t="n">
        <v>18</v>
      </c>
      <c r="B54" s="22" t="s">
        <v>319</v>
      </c>
      <c r="C54" s="22" t="n">
        <v>3</v>
      </c>
      <c r="D54" s="22" t="n">
        <v>3</v>
      </c>
      <c r="E54" s="22" t="n">
        <v>3</v>
      </c>
      <c r="F54" s="22" t="n">
        <v>3</v>
      </c>
      <c r="G54" s="22" t="n">
        <v>4</v>
      </c>
      <c r="H54" s="22" t="s">
        <v>321</v>
      </c>
      <c r="I54" s="23" t="n">
        <f aca="false">AVERAGE(C54:G54)</f>
        <v>3.2</v>
      </c>
    </row>
    <row r="55" customFormat="false" ht="15" hidden="false" customHeight="false" outlineLevel="0" collapsed="false">
      <c r="A55" s="22" t="n">
        <v>18</v>
      </c>
      <c r="B55" s="22" t="s">
        <v>320</v>
      </c>
      <c r="C55" s="22" t="n">
        <v>2</v>
      </c>
      <c r="D55" s="22" t="n">
        <v>1</v>
      </c>
      <c r="E55" s="22" t="n">
        <v>3</v>
      </c>
      <c r="F55" s="22" t="n">
        <v>2</v>
      </c>
      <c r="G55" s="22" t="n">
        <v>4</v>
      </c>
      <c r="H55" s="22" t="s">
        <v>321</v>
      </c>
      <c r="I55" s="23" t="n">
        <f aca="false">AVERAGE(C55:G55)</f>
        <v>2.4</v>
      </c>
    </row>
    <row r="56" customFormat="false" ht="15" hidden="false" customHeight="false" outlineLevel="0" collapsed="false">
      <c r="A56" s="22" t="n">
        <v>19</v>
      </c>
      <c r="B56" s="22" t="s">
        <v>317</v>
      </c>
      <c r="C56" s="22" t="n">
        <v>3</v>
      </c>
      <c r="D56" s="22" t="n">
        <v>2</v>
      </c>
      <c r="E56" s="22" t="n">
        <v>3</v>
      </c>
      <c r="F56" s="22" t="n">
        <v>3</v>
      </c>
      <c r="G56" s="22" t="n">
        <v>4</v>
      </c>
      <c r="H56" s="22" t="s">
        <v>321</v>
      </c>
      <c r="I56" s="23" t="n">
        <f aca="false">AVERAGE(C56:G56)</f>
        <v>3</v>
      </c>
    </row>
    <row r="57" customFormat="false" ht="15" hidden="false" customHeight="false" outlineLevel="0" collapsed="false">
      <c r="A57" s="22" t="n">
        <v>19</v>
      </c>
      <c r="B57" s="22" t="s">
        <v>319</v>
      </c>
      <c r="C57" s="22" t="n">
        <v>3</v>
      </c>
      <c r="D57" s="22" t="n">
        <v>3</v>
      </c>
      <c r="E57" s="22" t="n">
        <v>3</v>
      </c>
      <c r="F57" s="22" t="n">
        <v>3</v>
      </c>
      <c r="G57" s="22" t="n">
        <v>4</v>
      </c>
      <c r="H57" s="22" t="s">
        <v>321</v>
      </c>
      <c r="I57" s="23" t="n">
        <f aca="false">AVERAGE(C57:G57)</f>
        <v>3.2</v>
      </c>
    </row>
    <row r="58" customFormat="false" ht="15" hidden="false" customHeight="false" outlineLevel="0" collapsed="false">
      <c r="A58" s="22" t="n">
        <v>19</v>
      </c>
      <c r="B58" s="22" t="s">
        <v>320</v>
      </c>
      <c r="C58" s="22" t="n">
        <v>2</v>
      </c>
      <c r="D58" s="22" t="n">
        <v>1</v>
      </c>
      <c r="E58" s="22" t="n">
        <v>3</v>
      </c>
      <c r="F58" s="22" t="n">
        <v>2</v>
      </c>
      <c r="G58" s="22" t="n">
        <v>3</v>
      </c>
      <c r="H58" s="22" t="s">
        <v>321</v>
      </c>
      <c r="I58" s="23" t="n">
        <f aca="false">AVERAGE(C58:G58)</f>
        <v>2.2</v>
      </c>
    </row>
    <row r="59" customFormat="false" ht="15" hidden="false" customHeight="false" outlineLevel="0" collapsed="false">
      <c r="A59" s="22" t="n">
        <v>20</v>
      </c>
      <c r="B59" s="22" t="s">
        <v>317</v>
      </c>
      <c r="C59" s="22" t="n">
        <v>3</v>
      </c>
      <c r="D59" s="22" t="n">
        <v>3</v>
      </c>
      <c r="E59" s="22" t="n">
        <v>4</v>
      </c>
      <c r="F59" s="22" t="n">
        <v>3</v>
      </c>
      <c r="G59" s="22" t="n">
        <v>4</v>
      </c>
      <c r="H59" s="22" t="s">
        <v>321</v>
      </c>
      <c r="I59" s="23" t="n">
        <f aca="false">AVERAGE(C59:G59)</f>
        <v>3.4</v>
      </c>
    </row>
    <row r="60" customFormat="false" ht="15" hidden="false" customHeight="false" outlineLevel="0" collapsed="false">
      <c r="A60" s="22" t="n">
        <v>20</v>
      </c>
      <c r="B60" s="22" t="s">
        <v>319</v>
      </c>
      <c r="C60" s="22" t="n">
        <v>3</v>
      </c>
      <c r="D60" s="22" t="n">
        <v>3</v>
      </c>
      <c r="E60" s="22" t="n">
        <v>4</v>
      </c>
      <c r="F60" s="22" t="n">
        <v>3</v>
      </c>
      <c r="G60" s="22" t="n">
        <v>4</v>
      </c>
      <c r="H60" s="22" t="s">
        <v>321</v>
      </c>
      <c r="I60" s="23" t="n">
        <f aca="false">AVERAGE(C60:G60)</f>
        <v>3.4</v>
      </c>
    </row>
    <row r="61" customFormat="false" ht="15" hidden="false" customHeight="false" outlineLevel="0" collapsed="false">
      <c r="A61" s="22" t="n">
        <v>20</v>
      </c>
      <c r="B61" s="22" t="s">
        <v>320</v>
      </c>
      <c r="C61" s="22" t="n">
        <v>2</v>
      </c>
      <c r="D61" s="22" t="n">
        <v>1</v>
      </c>
      <c r="E61" s="22" t="n">
        <v>3</v>
      </c>
      <c r="F61" s="22" t="n">
        <v>2</v>
      </c>
      <c r="G61" s="22" t="n">
        <v>3</v>
      </c>
      <c r="H61" s="22" t="s">
        <v>321</v>
      </c>
      <c r="I61" s="23" t="n">
        <f aca="false">AVERAGE(C61:G61)</f>
        <v>2.2</v>
      </c>
    </row>
    <row r="62" customFormat="false" ht="15" hidden="false" customHeight="false" outlineLevel="0" collapsed="false">
      <c r="A62" s="22" t="n">
        <v>21</v>
      </c>
      <c r="B62" s="22" t="s">
        <v>317</v>
      </c>
      <c r="C62" s="22" t="n">
        <v>5</v>
      </c>
      <c r="D62" s="22" t="n">
        <v>4</v>
      </c>
      <c r="E62" s="22" t="n">
        <v>5</v>
      </c>
      <c r="F62" s="22" t="n">
        <v>5</v>
      </c>
      <c r="G62" s="22" t="n">
        <v>5</v>
      </c>
      <c r="H62" s="22" t="s">
        <v>322</v>
      </c>
      <c r="I62" s="23" t="n">
        <f aca="false">AVERAGE(C62:G62)</f>
        <v>4.8</v>
      </c>
    </row>
    <row r="63" customFormat="false" ht="15" hidden="false" customHeight="false" outlineLevel="0" collapsed="false">
      <c r="A63" s="22" t="n">
        <v>21</v>
      </c>
      <c r="B63" s="22" t="s">
        <v>319</v>
      </c>
      <c r="C63" s="22" t="n">
        <v>5</v>
      </c>
      <c r="D63" s="22" t="n">
        <v>5</v>
      </c>
      <c r="E63" s="22" t="n">
        <v>5</v>
      </c>
      <c r="F63" s="22" t="n">
        <v>5</v>
      </c>
      <c r="G63" s="22" t="n">
        <v>5</v>
      </c>
      <c r="H63" s="22" t="s">
        <v>322</v>
      </c>
      <c r="I63" s="23" t="n">
        <f aca="false">AVERAGE(C63:G63)</f>
        <v>5</v>
      </c>
    </row>
    <row r="64" customFormat="false" ht="15" hidden="false" customHeight="false" outlineLevel="0" collapsed="false">
      <c r="A64" s="22" t="n">
        <v>21</v>
      </c>
      <c r="B64" s="22" t="s">
        <v>320</v>
      </c>
      <c r="C64" s="22" t="n">
        <v>1</v>
      </c>
      <c r="D64" s="22" t="n">
        <v>1</v>
      </c>
      <c r="E64" s="22" t="n">
        <v>2</v>
      </c>
      <c r="F64" s="22" t="n">
        <v>2</v>
      </c>
      <c r="G64" s="22" t="n">
        <v>4</v>
      </c>
      <c r="H64" s="22" t="s">
        <v>322</v>
      </c>
      <c r="I64" s="23" t="n">
        <f aca="false">AVERAGE(C64:G64)</f>
        <v>2</v>
      </c>
    </row>
    <row r="65" customFormat="false" ht="15" hidden="false" customHeight="false" outlineLevel="0" collapsed="false">
      <c r="A65" s="22" t="n">
        <v>22</v>
      </c>
      <c r="B65" s="22" t="s">
        <v>317</v>
      </c>
      <c r="C65" s="22" t="n">
        <v>2</v>
      </c>
      <c r="D65" s="22" t="n">
        <v>2</v>
      </c>
      <c r="E65" s="22" t="n">
        <v>2</v>
      </c>
      <c r="F65" s="22" t="n">
        <v>2</v>
      </c>
      <c r="G65" s="22" t="n">
        <v>4</v>
      </c>
      <c r="H65" s="22" t="s">
        <v>322</v>
      </c>
      <c r="I65" s="23" t="n">
        <f aca="false">AVERAGE(C65:G65)</f>
        <v>2.4</v>
      </c>
    </row>
    <row r="66" customFormat="false" ht="15" hidden="false" customHeight="false" outlineLevel="0" collapsed="false">
      <c r="A66" s="22" t="n">
        <v>22</v>
      </c>
      <c r="B66" s="22" t="s">
        <v>319</v>
      </c>
      <c r="C66" s="22" t="n">
        <v>5</v>
      </c>
      <c r="D66" s="22" t="n">
        <v>4</v>
      </c>
      <c r="E66" s="22" t="n">
        <v>5</v>
      </c>
      <c r="F66" s="22" t="n">
        <v>5</v>
      </c>
      <c r="G66" s="22" t="n">
        <v>5</v>
      </c>
      <c r="H66" s="22" t="s">
        <v>322</v>
      </c>
      <c r="I66" s="23" t="n">
        <f aca="false">AVERAGE(C66:G66)</f>
        <v>4.8</v>
      </c>
    </row>
    <row r="67" customFormat="false" ht="15" hidden="false" customHeight="false" outlineLevel="0" collapsed="false">
      <c r="A67" s="22" t="n">
        <v>22</v>
      </c>
      <c r="B67" s="22" t="s">
        <v>320</v>
      </c>
      <c r="C67" s="22" t="n">
        <v>3</v>
      </c>
      <c r="D67" s="22" t="n">
        <v>2</v>
      </c>
      <c r="E67" s="22" t="n">
        <v>4</v>
      </c>
      <c r="F67" s="22" t="n">
        <v>3</v>
      </c>
      <c r="G67" s="22" t="n">
        <v>4</v>
      </c>
      <c r="H67" s="22" t="s">
        <v>322</v>
      </c>
      <c r="I67" s="23" t="n">
        <f aca="false">AVERAGE(C67:G67)</f>
        <v>3.2</v>
      </c>
    </row>
    <row r="68" customFormat="false" ht="15" hidden="false" customHeight="false" outlineLevel="0" collapsed="false">
      <c r="A68" s="22" t="n">
        <v>23</v>
      </c>
      <c r="B68" s="22" t="s">
        <v>317</v>
      </c>
      <c r="C68" s="22" t="n">
        <v>5</v>
      </c>
      <c r="D68" s="22" t="n">
        <v>5</v>
      </c>
      <c r="E68" s="22" t="n">
        <v>5</v>
      </c>
      <c r="F68" s="22" t="n">
        <v>5</v>
      </c>
      <c r="G68" s="22" t="n">
        <v>5</v>
      </c>
      <c r="H68" s="22" t="s">
        <v>322</v>
      </c>
      <c r="I68" s="23" t="n">
        <f aca="false">AVERAGE(C68:G68)</f>
        <v>5</v>
      </c>
    </row>
    <row r="69" customFormat="false" ht="15" hidden="false" customHeight="false" outlineLevel="0" collapsed="false">
      <c r="A69" s="22" t="n">
        <v>23</v>
      </c>
      <c r="B69" s="22" t="s">
        <v>319</v>
      </c>
      <c r="C69" s="22" t="n">
        <v>5</v>
      </c>
      <c r="D69" s="22" t="n">
        <v>4</v>
      </c>
      <c r="E69" s="22" t="n">
        <v>5</v>
      </c>
      <c r="F69" s="22" t="n">
        <v>5</v>
      </c>
      <c r="G69" s="22" t="n">
        <v>5</v>
      </c>
      <c r="H69" s="22" t="s">
        <v>322</v>
      </c>
      <c r="I69" s="23" t="n">
        <f aca="false">AVERAGE(C69:G69)</f>
        <v>4.8</v>
      </c>
    </row>
    <row r="70" customFormat="false" ht="15" hidden="false" customHeight="false" outlineLevel="0" collapsed="false">
      <c r="A70" s="22" t="n">
        <v>23</v>
      </c>
      <c r="B70" s="22" t="s">
        <v>320</v>
      </c>
      <c r="C70" s="22" t="n">
        <v>1</v>
      </c>
      <c r="D70" s="22" t="n">
        <v>1</v>
      </c>
      <c r="E70" s="22" t="n">
        <v>2</v>
      </c>
      <c r="F70" s="22" t="n">
        <v>2</v>
      </c>
      <c r="G70" s="22" t="n">
        <v>4</v>
      </c>
      <c r="H70" s="22" t="s">
        <v>322</v>
      </c>
      <c r="I70" s="23" t="n">
        <f aca="false">AVERAGE(C70:G70)</f>
        <v>2</v>
      </c>
    </row>
    <row r="71" customFormat="false" ht="15" hidden="false" customHeight="false" outlineLevel="0" collapsed="false">
      <c r="A71" s="22" t="n">
        <v>24</v>
      </c>
      <c r="B71" s="22" t="s">
        <v>317</v>
      </c>
      <c r="C71" s="22" t="n">
        <v>3</v>
      </c>
      <c r="D71" s="22" t="n">
        <v>3</v>
      </c>
      <c r="E71" s="22" t="n">
        <v>3</v>
      </c>
      <c r="F71" s="22" t="n">
        <v>2</v>
      </c>
      <c r="G71" s="22" t="n">
        <v>4</v>
      </c>
      <c r="H71" s="22" t="s">
        <v>322</v>
      </c>
      <c r="I71" s="23" t="n">
        <f aca="false">AVERAGE(C71:G71)</f>
        <v>3</v>
      </c>
    </row>
    <row r="72" customFormat="false" ht="15" hidden="false" customHeight="false" outlineLevel="0" collapsed="false">
      <c r="A72" s="22" t="n">
        <v>24</v>
      </c>
      <c r="B72" s="22" t="s">
        <v>319</v>
      </c>
      <c r="C72" s="22" t="n">
        <v>5</v>
      </c>
      <c r="D72" s="22" t="n">
        <v>4</v>
      </c>
      <c r="E72" s="22" t="n">
        <v>5</v>
      </c>
      <c r="F72" s="22" t="n">
        <v>4</v>
      </c>
      <c r="G72" s="22" t="n">
        <v>5</v>
      </c>
      <c r="H72" s="22" t="s">
        <v>322</v>
      </c>
      <c r="I72" s="23" t="n">
        <f aca="false">AVERAGE(C72:G72)</f>
        <v>4.6</v>
      </c>
    </row>
    <row r="73" customFormat="false" ht="15" hidden="false" customHeight="false" outlineLevel="0" collapsed="false">
      <c r="A73" s="22" t="n">
        <v>24</v>
      </c>
      <c r="B73" s="22" t="s">
        <v>320</v>
      </c>
      <c r="C73" s="22" t="n">
        <v>4</v>
      </c>
      <c r="D73" s="22" t="n">
        <v>3</v>
      </c>
      <c r="E73" s="22" t="n">
        <v>4</v>
      </c>
      <c r="F73" s="22" t="n">
        <v>4</v>
      </c>
      <c r="G73" s="22" t="n">
        <v>4</v>
      </c>
      <c r="H73" s="22" t="s">
        <v>322</v>
      </c>
      <c r="I73" s="23" t="n">
        <f aca="false">AVERAGE(C73:G73)</f>
        <v>3.8</v>
      </c>
    </row>
    <row r="74" customFormat="false" ht="15" hidden="false" customHeight="false" outlineLevel="0" collapsed="false">
      <c r="A74" s="22" t="n">
        <v>25</v>
      </c>
      <c r="B74" s="22" t="s">
        <v>317</v>
      </c>
      <c r="C74" s="22" t="n">
        <v>5</v>
      </c>
      <c r="D74" s="22" t="n">
        <v>4</v>
      </c>
      <c r="E74" s="22" t="n">
        <v>5</v>
      </c>
      <c r="F74" s="22" t="n">
        <v>5</v>
      </c>
      <c r="G74" s="22" t="n">
        <v>5</v>
      </c>
      <c r="H74" s="22" t="s">
        <v>322</v>
      </c>
      <c r="I74" s="23" t="n">
        <f aca="false">AVERAGE(C74:G74)</f>
        <v>4.8</v>
      </c>
    </row>
    <row r="75" customFormat="false" ht="15" hidden="false" customHeight="false" outlineLevel="0" collapsed="false">
      <c r="A75" s="22" t="n">
        <v>25</v>
      </c>
      <c r="B75" s="22" t="s">
        <v>319</v>
      </c>
      <c r="C75" s="22" t="n">
        <v>5</v>
      </c>
      <c r="D75" s="22" t="n">
        <v>4</v>
      </c>
      <c r="E75" s="22" t="n">
        <v>5</v>
      </c>
      <c r="F75" s="22" t="n">
        <v>5</v>
      </c>
      <c r="G75" s="22" t="n">
        <v>5</v>
      </c>
      <c r="H75" s="22" t="s">
        <v>322</v>
      </c>
      <c r="I75" s="23" t="n">
        <f aca="false">AVERAGE(C75:G75)</f>
        <v>4.8</v>
      </c>
    </row>
    <row r="76" customFormat="false" ht="15" hidden="false" customHeight="false" outlineLevel="0" collapsed="false">
      <c r="A76" s="22" t="n">
        <v>25</v>
      </c>
      <c r="B76" s="22" t="s">
        <v>320</v>
      </c>
      <c r="C76" s="22" t="n">
        <v>1</v>
      </c>
      <c r="D76" s="22" t="n">
        <v>1</v>
      </c>
      <c r="E76" s="22" t="n">
        <v>2</v>
      </c>
      <c r="F76" s="22" t="n">
        <v>2</v>
      </c>
      <c r="G76" s="22" t="n">
        <v>3</v>
      </c>
      <c r="H76" s="22" t="s">
        <v>322</v>
      </c>
      <c r="I76" s="23" t="n">
        <f aca="false">AVERAGE(C76:G76)</f>
        <v>1.8</v>
      </c>
    </row>
    <row r="77" customFormat="false" ht="15" hidden="false" customHeight="false" outlineLevel="0" collapsed="false">
      <c r="A77" s="22" t="n">
        <v>26</v>
      </c>
      <c r="B77" s="22" t="s">
        <v>317</v>
      </c>
      <c r="C77" s="22" t="n">
        <v>3</v>
      </c>
      <c r="D77" s="22" t="n">
        <v>3</v>
      </c>
      <c r="E77" s="22" t="n">
        <v>3</v>
      </c>
      <c r="F77" s="22" t="n">
        <v>2</v>
      </c>
      <c r="G77" s="22" t="n">
        <v>4</v>
      </c>
      <c r="H77" s="22" t="s">
        <v>322</v>
      </c>
      <c r="I77" s="23" t="n">
        <f aca="false">AVERAGE(C77:G77)</f>
        <v>3</v>
      </c>
    </row>
    <row r="78" customFormat="false" ht="15" hidden="false" customHeight="false" outlineLevel="0" collapsed="false">
      <c r="A78" s="22" t="n">
        <v>26</v>
      </c>
      <c r="B78" s="22" t="s">
        <v>319</v>
      </c>
      <c r="C78" s="22" t="n">
        <v>4</v>
      </c>
      <c r="D78" s="22" t="n">
        <v>3</v>
      </c>
      <c r="E78" s="22" t="n">
        <v>4</v>
      </c>
      <c r="F78" s="22" t="n">
        <v>4</v>
      </c>
      <c r="G78" s="22" t="n">
        <v>4</v>
      </c>
      <c r="H78" s="22" t="s">
        <v>322</v>
      </c>
      <c r="I78" s="23" t="n">
        <f aca="false">AVERAGE(C78:G78)</f>
        <v>3.8</v>
      </c>
    </row>
    <row r="79" customFormat="false" ht="15" hidden="false" customHeight="false" outlineLevel="0" collapsed="false">
      <c r="A79" s="22" t="n">
        <v>26</v>
      </c>
      <c r="B79" s="22" t="s">
        <v>320</v>
      </c>
      <c r="C79" s="22" t="n">
        <v>1</v>
      </c>
      <c r="D79" s="22" t="n">
        <v>1</v>
      </c>
      <c r="E79" s="22" t="n">
        <v>2</v>
      </c>
      <c r="F79" s="22" t="n">
        <v>2</v>
      </c>
      <c r="G79" s="22" t="n">
        <v>4</v>
      </c>
      <c r="H79" s="22" t="s">
        <v>322</v>
      </c>
      <c r="I79" s="23" t="n">
        <f aca="false">AVERAGE(C79:G79)</f>
        <v>2</v>
      </c>
    </row>
    <row r="80" customFormat="false" ht="15" hidden="false" customHeight="false" outlineLevel="0" collapsed="false">
      <c r="A80" s="22" t="n">
        <v>27</v>
      </c>
      <c r="B80" s="22" t="s">
        <v>317</v>
      </c>
      <c r="C80" s="22" t="n">
        <v>4</v>
      </c>
      <c r="D80" s="22" t="n">
        <v>2</v>
      </c>
      <c r="E80" s="22" t="n">
        <v>4</v>
      </c>
      <c r="F80" s="22" t="n">
        <v>3</v>
      </c>
      <c r="G80" s="22" t="n">
        <v>4</v>
      </c>
      <c r="H80" s="22" t="s">
        <v>322</v>
      </c>
      <c r="I80" s="23" t="n">
        <f aca="false">AVERAGE(C80:G80)</f>
        <v>3.4</v>
      </c>
    </row>
    <row r="81" customFormat="false" ht="15" hidden="false" customHeight="false" outlineLevel="0" collapsed="false">
      <c r="A81" s="22" t="n">
        <v>27</v>
      </c>
      <c r="B81" s="22" t="s">
        <v>319</v>
      </c>
      <c r="C81" s="22" t="n">
        <v>5</v>
      </c>
      <c r="D81" s="22" t="n">
        <v>5</v>
      </c>
      <c r="E81" s="22" t="n">
        <v>5</v>
      </c>
      <c r="F81" s="22" t="n">
        <v>4</v>
      </c>
      <c r="G81" s="22" t="n">
        <v>5</v>
      </c>
      <c r="H81" s="22" t="s">
        <v>322</v>
      </c>
      <c r="I81" s="23" t="n">
        <f aca="false">AVERAGE(C81:G81)</f>
        <v>4.8</v>
      </c>
    </row>
    <row r="82" customFormat="false" ht="15" hidden="false" customHeight="false" outlineLevel="0" collapsed="false">
      <c r="A82" s="22" t="n">
        <v>27</v>
      </c>
      <c r="B82" s="22" t="s">
        <v>320</v>
      </c>
      <c r="C82" s="22" t="n">
        <v>4</v>
      </c>
      <c r="D82" s="22" t="n">
        <v>3</v>
      </c>
      <c r="E82" s="22" t="n">
        <v>4</v>
      </c>
      <c r="F82" s="22" t="n">
        <v>3</v>
      </c>
      <c r="G82" s="22" t="n">
        <v>4</v>
      </c>
      <c r="H82" s="22" t="s">
        <v>322</v>
      </c>
      <c r="I82" s="23" t="n">
        <f aca="false">AVERAGE(C82:G82)</f>
        <v>3.6</v>
      </c>
    </row>
    <row r="83" customFormat="false" ht="15" hidden="false" customHeight="false" outlineLevel="0" collapsed="false">
      <c r="A83" s="22" t="n">
        <v>28</v>
      </c>
      <c r="B83" s="22" t="s">
        <v>317</v>
      </c>
      <c r="C83" s="22" t="n">
        <v>4</v>
      </c>
      <c r="D83" s="22" t="n">
        <v>4</v>
      </c>
      <c r="E83" s="22" t="n">
        <v>4</v>
      </c>
      <c r="F83" s="22" t="n">
        <v>4</v>
      </c>
      <c r="G83" s="22" t="n">
        <v>4</v>
      </c>
      <c r="H83" s="22" t="s">
        <v>322</v>
      </c>
      <c r="I83" s="23" t="n">
        <f aca="false">AVERAGE(C83:G83)</f>
        <v>4</v>
      </c>
    </row>
    <row r="84" customFormat="false" ht="15" hidden="false" customHeight="false" outlineLevel="0" collapsed="false">
      <c r="A84" s="22" t="n">
        <v>28</v>
      </c>
      <c r="B84" s="22" t="s">
        <v>319</v>
      </c>
      <c r="C84" s="22" t="n">
        <v>5</v>
      </c>
      <c r="D84" s="22" t="n">
        <v>5</v>
      </c>
      <c r="E84" s="22" t="n">
        <v>5</v>
      </c>
      <c r="F84" s="22" t="n">
        <v>4</v>
      </c>
      <c r="G84" s="22" t="n">
        <v>5</v>
      </c>
      <c r="H84" s="22" t="s">
        <v>322</v>
      </c>
      <c r="I84" s="23" t="n">
        <f aca="false">AVERAGE(C84:G84)</f>
        <v>4.8</v>
      </c>
    </row>
    <row r="85" customFormat="false" ht="15" hidden="false" customHeight="false" outlineLevel="0" collapsed="false">
      <c r="A85" s="22" t="n">
        <v>28</v>
      </c>
      <c r="B85" s="22" t="s">
        <v>320</v>
      </c>
      <c r="C85" s="22" t="n">
        <v>4</v>
      </c>
      <c r="D85" s="22" t="n">
        <v>4</v>
      </c>
      <c r="E85" s="22" t="n">
        <v>4</v>
      </c>
      <c r="F85" s="22" t="n">
        <v>4</v>
      </c>
      <c r="G85" s="22" t="n">
        <v>4</v>
      </c>
      <c r="H85" s="22" t="s">
        <v>322</v>
      </c>
      <c r="I85" s="23" t="n">
        <f aca="false">AVERAGE(C85:G85)</f>
        <v>4</v>
      </c>
    </row>
    <row r="86" customFormat="false" ht="15" hidden="false" customHeight="false" outlineLevel="0" collapsed="false">
      <c r="A86" s="22" t="n">
        <v>29</v>
      </c>
      <c r="B86" s="22" t="s">
        <v>317</v>
      </c>
      <c r="C86" s="22" t="n">
        <v>2</v>
      </c>
      <c r="D86" s="22" t="n">
        <v>2</v>
      </c>
      <c r="E86" s="22" t="n">
        <v>3</v>
      </c>
      <c r="F86" s="22" t="n">
        <v>2</v>
      </c>
      <c r="G86" s="22" t="n">
        <v>4</v>
      </c>
      <c r="H86" s="22" t="s">
        <v>322</v>
      </c>
      <c r="I86" s="23" t="n">
        <f aca="false">AVERAGE(C86:G86)</f>
        <v>2.6</v>
      </c>
    </row>
    <row r="87" customFormat="false" ht="15" hidden="false" customHeight="false" outlineLevel="0" collapsed="false">
      <c r="A87" s="22" t="n">
        <v>29</v>
      </c>
      <c r="B87" s="22" t="s">
        <v>319</v>
      </c>
      <c r="C87" s="22" t="n">
        <v>5</v>
      </c>
      <c r="D87" s="22" t="n">
        <v>5</v>
      </c>
      <c r="E87" s="22" t="n">
        <v>5</v>
      </c>
      <c r="F87" s="22" t="n">
        <v>5</v>
      </c>
      <c r="G87" s="22" t="n">
        <v>5</v>
      </c>
      <c r="H87" s="22" t="s">
        <v>322</v>
      </c>
      <c r="I87" s="23" t="n">
        <f aca="false">AVERAGE(C87:G87)</f>
        <v>5</v>
      </c>
    </row>
    <row r="88" customFormat="false" ht="15" hidden="false" customHeight="false" outlineLevel="0" collapsed="false">
      <c r="A88" s="22" t="n">
        <v>29</v>
      </c>
      <c r="B88" s="22" t="s">
        <v>320</v>
      </c>
      <c r="C88" s="22" t="n">
        <v>3</v>
      </c>
      <c r="D88" s="22" t="n">
        <v>2</v>
      </c>
      <c r="E88" s="22" t="n">
        <v>4</v>
      </c>
      <c r="F88" s="22" t="n">
        <v>3</v>
      </c>
      <c r="G88" s="22" t="n">
        <v>4</v>
      </c>
      <c r="H88" s="22" t="s">
        <v>322</v>
      </c>
      <c r="I88" s="23" t="n">
        <f aca="false">AVERAGE(C88:G88)</f>
        <v>3.2</v>
      </c>
    </row>
    <row r="89" customFormat="false" ht="15" hidden="false" customHeight="false" outlineLevel="0" collapsed="false">
      <c r="A89" s="22" t="n">
        <v>30</v>
      </c>
      <c r="B89" s="22" t="s">
        <v>317</v>
      </c>
      <c r="C89" s="22" t="n">
        <v>2</v>
      </c>
      <c r="D89" s="22" t="n">
        <v>2</v>
      </c>
      <c r="E89" s="22" t="n">
        <v>2</v>
      </c>
      <c r="F89" s="22" t="n">
        <v>2</v>
      </c>
      <c r="G89" s="22" t="n">
        <v>3</v>
      </c>
      <c r="H89" s="22" t="s">
        <v>322</v>
      </c>
      <c r="I89" s="23" t="n">
        <f aca="false">AVERAGE(C89:G89)</f>
        <v>2.2</v>
      </c>
    </row>
    <row r="90" customFormat="false" ht="15" hidden="false" customHeight="false" outlineLevel="0" collapsed="false">
      <c r="A90" s="22" t="n">
        <v>30</v>
      </c>
      <c r="B90" s="22" t="s">
        <v>319</v>
      </c>
      <c r="C90" s="22" t="n">
        <v>2</v>
      </c>
      <c r="D90" s="22" t="n">
        <v>2</v>
      </c>
      <c r="E90" s="22" t="n">
        <v>2</v>
      </c>
      <c r="F90" s="22" t="n">
        <v>2</v>
      </c>
      <c r="G90" s="22" t="n">
        <v>3</v>
      </c>
      <c r="H90" s="22" t="s">
        <v>322</v>
      </c>
      <c r="I90" s="23" t="n">
        <f aca="false">AVERAGE(C90:G90)</f>
        <v>2.2</v>
      </c>
    </row>
    <row r="91" customFormat="false" ht="15" hidden="false" customHeight="false" outlineLevel="0" collapsed="false">
      <c r="A91" s="22" t="n">
        <v>30</v>
      </c>
      <c r="B91" s="22" t="s">
        <v>320</v>
      </c>
      <c r="C91" s="22" t="n">
        <v>1</v>
      </c>
      <c r="D91" s="22" t="n">
        <v>1</v>
      </c>
      <c r="E91" s="22" t="n">
        <v>2</v>
      </c>
      <c r="F91" s="22" t="n">
        <v>2</v>
      </c>
      <c r="G91" s="22" t="n">
        <v>3</v>
      </c>
      <c r="H91" s="22" t="s">
        <v>322</v>
      </c>
      <c r="I91" s="23" t="n">
        <f aca="false">AVERAGE(C91:G91)</f>
        <v>1.8</v>
      </c>
    </row>
    <row r="92" customFormat="false" ht="15" hidden="false" customHeight="false" outlineLevel="0" collapsed="false">
      <c r="A92" s="22" t="n">
        <v>31</v>
      </c>
      <c r="B92" s="22" t="s">
        <v>317</v>
      </c>
      <c r="C92" s="22" t="n">
        <v>5</v>
      </c>
      <c r="D92" s="22" t="n">
        <v>5</v>
      </c>
      <c r="E92" s="22" t="n">
        <v>5</v>
      </c>
      <c r="F92" s="22" t="n">
        <v>4</v>
      </c>
      <c r="G92" s="22" t="n">
        <v>5</v>
      </c>
      <c r="H92" s="22" t="s">
        <v>322</v>
      </c>
      <c r="I92" s="23" t="n">
        <f aca="false">AVERAGE(C92:G92)</f>
        <v>4.8</v>
      </c>
    </row>
    <row r="93" customFormat="false" ht="15" hidden="false" customHeight="false" outlineLevel="0" collapsed="false">
      <c r="A93" s="22" t="n">
        <v>31</v>
      </c>
      <c r="B93" s="22" t="s">
        <v>319</v>
      </c>
      <c r="C93" s="22" t="n">
        <v>5</v>
      </c>
      <c r="D93" s="22" t="n">
        <v>4</v>
      </c>
      <c r="E93" s="22" t="n">
        <v>5</v>
      </c>
      <c r="F93" s="22" t="n">
        <v>5</v>
      </c>
      <c r="G93" s="22" t="n">
        <v>5</v>
      </c>
      <c r="H93" s="22" t="s">
        <v>322</v>
      </c>
      <c r="I93" s="23" t="n">
        <f aca="false">AVERAGE(C93:G93)</f>
        <v>4.8</v>
      </c>
    </row>
    <row r="94" customFormat="false" ht="15" hidden="false" customHeight="false" outlineLevel="0" collapsed="false">
      <c r="A94" s="22" t="n">
        <v>31</v>
      </c>
      <c r="B94" s="22" t="s">
        <v>320</v>
      </c>
      <c r="C94" s="22" t="n">
        <v>1</v>
      </c>
      <c r="D94" s="22" t="n">
        <v>1</v>
      </c>
      <c r="E94" s="22" t="n">
        <v>2</v>
      </c>
      <c r="F94" s="22" t="n">
        <v>2</v>
      </c>
      <c r="G94" s="22" t="n">
        <v>3</v>
      </c>
      <c r="H94" s="22" t="s">
        <v>322</v>
      </c>
      <c r="I94" s="23" t="n">
        <f aca="false">AVERAGE(C94:G94)</f>
        <v>1.8</v>
      </c>
    </row>
    <row r="95" customFormat="false" ht="15" hidden="false" customHeight="false" outlineLevel="0" collapsed="false">
      <c r="A95" s="22" t="n">
        <v>32</v>
      </c>
      <c r="B95" s="22" t="s">
        <v>317</v>
      </c>
      <c r="C95" s="22" t="n">
        <v>5</v>
      </c>
      <c r="D95" s="22" t="n">
        <v>4</v>
      </c>
      <c r="E95" s="22" t="n">
        <v>5</v>
      </c>
      <c r="F95" s="22" t="n">
        <v>4</v>
      </c>
      <c r="G95" s="22" t="n">
        <v>5</v>
      </c>
      <c r="H95" s="22" t="s">
        <v>322</v>
      </c>
      <c r="I95" s="23" t="n">
        <f aca="false">AVERAGE(C95:G95)</f>
        <v>4.6</v>
      </c>
    </row>
    <row r="96" customFormat="false" ht="15" hidden="false" customHeight="false" outlineLevel="0" collapsed="false">
      <c r="A96" s="22" t="n">
        <v>32</v>
      </c>
      <c r="B96" s="22" t="s">
        <v>319</v>
      </c>
      <c r="C96" s="22" t="n">
        <v>5</v>
      </c>
      <c r="D96" s="22" t="n">
        <v>5</v>
      </c>
      <c r="E96" s="22" t="n">
        <v>5</v>
      </c>
      <c r="F96" s="22" t="n">
        <v>4</v>
      </c>
      <c r="G96" s="22" t="n">
        <v>5</v>
      </c>
      <c r="H96" s="22" t="s">
        <v>322</v>
      </c>
      <c r="I96" s="23" t="n">
        <f aca="false">AVERAGE(C96:G96)</f>
        <v>4.8</v>
      </c>
    </row>
    <row r="97" customFormat="false" ht="15" hidden="false" customHeight="false" outlineLevel="0" collapsed="false">
      <c r="A97" s="22" t="n">
        <v>32</v>
      </c>
      <c r="B97" s="22" t="s">
        <v>320</v>
      </c>
      <c r="C97" s="22" t="n">
        <v>3</v>
      </c>
      <c r="D97" s="22" t="n">
        <v>2</v>
      </c>
      <c r="E97" s="22" t="n">
        <v>3</v>
      </c>
      <c r="F97" s="22" t="n">
        <v>3</v>
      </c>
      <c r="G97" s="22" t="n">
        <v>3</v>
      </c>
      <c r="H97" s="22" t="s">
        <v>322</v>
      </c>
      <c r="I97" s="23" t="n">
        <f aca="false">AVERAGE(C97:G97)</f>
        <v>2.8</v>
      </c>
    </row>
    <row r="98" customFormat="false" ht="15" hidden="false" customHeight="false" outlineLevel="0" collapsed="false">
      <c r="A98" s="22" t="n">
        <v>33</v>
      </c>
      <c r="B98" s="22" t="s">
        <v>317</v>
      </c>
      <c r="C98" s="22" t="n">
        <v>4</v>
      </c>
      <c r="D98" s="22" t="n">
        <v>4</v>
      </c>
      <c r="E98" s="22" t="n">
        <v>4</v>
      </c>
      <c r="F98" s="22" t="n">
        <v>4</v>
      </c>
      <c r="G98" s="22" t="n">
        <v>4</v>
      </c>
      <c r="H98" s="22" t="s">
        <v>322</v>
      </c>
      <c r="I98" s="23" t="n">
        <f aca="false">AVERAGE(C98:G98)</f>
        <v>4</v>
      </c>
    </row>
    <row r="99" customFormat="false" ht="15" hidden="false" customHeight="false" outlineLevel="0" collapsed="false">
      <c r="A99" s="22" t="n">
        <v>33</v>
      </c>
      <c r="B99" s="22" t="s">
        <v>319</v>
      </c>
      <c r="C99" s="22" t="n">
        <v>5</v>
      </c>
      <c r="D99" s="22" t="n">
        <v>5</v>
      </c>
      <c r="E99" s="22" t="n">
        <v>5</v>
      </c>
      <c r="F99" s="22" t="n">
        <v>4</v>
      </c>
      <c r="G99" s="22" t="n">
        <v>5</v>
      </c>
      <c r="H99" s="22" t="s">
        <v>322</v>
      </c>
      <c r="I99" s="23" t="n">
        <f aca="false">AVERAGE(C99:G99)</f>
        <v>4.8</v>
      </c>
    </row>
    <row r="100" customFormat="false" ht="15" hidden="false" customHeight="false" outlineLevel="0" collapsed="false">
      <c r="A100" s="22" t="n">
        <v>33</v>
      </c>
      <c r="B100" s="22" t="s">
        <v>320</v>
      </c>
      <c r="C100" s="22" t="n">
        <v>2</v>
      </c>
      <c r="D100" s="22" t="n">
        <v>1</v>
      </c>
      <c r="E100" s="22" t="n">
        <v>3</v>
      </c>
      <c r="F100" s="22" t="n">
        <v>2</v>
      </c>
      <c r="G100" s="22" t="n">
        <v>4</v>
      </c>
      <c r="H100" s="22" t="s">
        <v>322</v>
      </c>
      <c r="I100" s="23" t="n">
        <f aca="false">AVERAGE(C100:G100)</f>
        <v>2.4</v>
      </c>
    </row>
    <row r="101" customFormat="false" ht="15" hidden="false" customHeight="false" outlineLevel="0" collapsed="false">
      <c r="A101" s="22" t="n">
        <v>34</v>
      </c>
      <c r="B101" s="22" t="s">
        <v>317</v>
      </c>
      <c r="C101" s="22" t="n">
        <v>2</v>
      </c>
      <c r="D101" s="22" t="n">
        <v>2</v>
      </c>
      <c r="E101" s="22" t="n">
        <v>2</v>
      </c>
      <c r="F101" s="22" t="n">
        <v>2</v>
      </c>
      <c r="G101" s="22" t="n">
        <v>4</v>
      </c>
      <c r="H101" s="22" t="s">
        <v>322</v>
      </c>
      <c r="I101" s="23" t="n">
        <f aca="false">AVERAGE(C101:G101)</f>
        <v>2.4</v>
      </c>
    </row>
    <row r="102" customFormat="false" ht="15" hidden="false" customHeight="false" outlineLevel="0" collapsed="false">
      <c r="A102" s="22" t="n">
        <v>34</v>
      </c>
      <c r="B102" s="22" t="s">
        <v>319</v>
      </c>
      <c r="C102" s="22" t="n">
        <v>2</v>
      </c>
      <c r="D102" s="22" t="n">
        <v>2</v>
      </c>
      <c r="E102" s="22" t="n">
        <v>2</v>
      </c>
      <c r="F102" s="22" t="n">
        <v>2</v>
      </c>
      <c r="G102" s="22" t="n">
        <v>4</v>
      </c>
      <c r="H102" s="22" t="s">
        <v>322</v>
      </c>
      <c r="I102" s="23" t="n">
        <f aca="false">AVERAGE(C102:G102)</f>
        <v>2.4</v>
      </c>
    </row>
    <row r="103" customFormat="false" ht="15" hidden="false" customHeight="false" outlineLevel="0" collapsed="false">
      <c r="A103" s="22" t="n">
        <v>34</v>
      </c>
      <c r="B103" s="22" t="s">
        <v>320</v>
      </c>
      <c r="C103" s="22" t="n">
        <v>1</v>
      </c>
      <c r="D103" s="22" t="n">
        <v>1</v>
      </c>
      <c r="E103" s="22" t="n">
        <v>2</v>
      </c>
      <c r="F103" s="22" t="n">
        <v>2</v>
      </c>
      <c r="G103" s="22" t="n">
        <v>3</v>
      </c>
      <c r="H103" s="22" t="s">
        <v>322</v>
      </c>
      <c r="I103" s="23" t="n">
        <f aca="false">AVERAGE(C103:G103)</f>
        <v>1.8</v>
      </c>
    </row>
    <row r="104" customFormat="false" ht="15" hidden="false" customHeight="false" outlineLevel="0" collapsed="false">
      <c r="A104" s="22" t="n">
        <v>35</v>
      </c>
      <c r="B104" s="22" t="s">
        <v>317</v>
      </c>
      <c r="C104" s="22" t="n">
        <v>5</v>
      </c>
      <c r="D104" s="22" t="n">
        <v>5</v>
      </c>
      <c r="E104" s="22" t="n">
        <v>5</v>
      </c>
      <c r="F104" s="22" t="n">
        <v>4</v>
      </c>
      <c r="G104" s="22" t="n">
        <v>5</v>
      </c>
      <c r="H104" s="22" t="s">
        <v>322</v>
      </c>
      <c r="I104" s="23" t="n">
        <f aca="false">AVERAGE(C104:G104)</f>
        <v>4.8</v>
      </c>
    </row>
    <row r="105" customFormat="false" ht="15" hidden="false" customHeight="false" outlineLevel="0" collapsed="false">
      <c r="A105" s="22" t="n">
        <v>35</v>
      </c>
      <c r="B105" s="22" t="s">
        <v>319</v>
      </c>
      <c r="C105" s="22" t="n">
        <v>5</v>
      </c>
      <c r="D105" s="22" t="n">
        <v>5</v>
      </c>
      <c r="E105" s="22" t="n">
        <v>5</v>
      </c>
      <c r="F105" s="22" t="n">
        <v>4</v>
      </c>
      <c r="G105" s="22" t="n">
        <v>5</v>
      </c>
      <c r="H105" s="22" t="s">
        <v>322</v>
      </c>
      <c r="I105" s="23" t="n">
        <f aca="false">AVERAGE(C105:G105)</f>
        <v>4.8</v>
      </c>
    </row>
    <row r="106" customFormat="false" ht="15" hidden="false" customHeight="false" outlineLevel="0" collapsed="false">
      <c r="A106" s="22" t="n">
        <v>35</v>
      </c>
      <c r="B106" s="22" t="s">
        <v>320</v>
      </c>
      <c r="C106" s="22" t="n">
        <v>2</v>
      </c>
      <c r="D106" s="22" t="n">
        <v>1</v>
      </c>
      <c r="E106" s="22" t="n">
        <v>3</v>
      </c>
      <c r="F106" s="22" t="n">
        <v>2</v>
      </c>
      <c r="G106" s="22" t="n">
        <v>3</v>
      </c>
      <c r="H106" s="22" t="s">
        <v>322</v>
      </c>
      <c r="I106" s="23" t="n">
        <f aca="false">AVERAGE(C106:G106)</f>
        <v>2.2</v>
      </c>
    </row>
    <row r="107" customFormat="false" ht="15" hidden="false" customHeight="false" outlineLevel="0" collapsed="false">
      <c r="A107" s="22" t="n">
        <v>36</v>
      </c>
      <c r="B107" s="22" t="s">
        <v>317</v>
      </c>
      <c r="C107" s="22" t="n">
        <v>5</v>
      </c>
      <c r="D107" s="22" t="n">
        <v>4</v>
      </c>
      <c r="E107" s="22" t="n">
        <v>5</v>
      </c>
      <c r="F107" s="22" t="n">
        <v>4</v>
      </c>
      <c r="G107" s="22" t="n">
        <v>5</v>
      </c>
      <c r="H107" s="22" t="s">
        <v>322</v>
      </c>
      <c r="I107" s="23" t="n">
        <f aca="false">AVERAGE(C107:G107)</f>
        <v>4.6</v>
      </c>
    </row>
    <row r="108" customFormat="false" ht="15" hidden="false" customHeight="false" outlineLevel="0" collapsed="false">
      <c r="A108" s="22" t="n">
        <v>36</v>
      </c>
      <c r="B108" s="22" t="s">
        <v>319</v>
      </c>
      <c r="C108" s="22" t="n">
        <v>5</v>
      </c>
      <c r="D108" s="22" t="n">
        <v>4</v>
      </c>
      <c r="E108" s="22" t="n">
        <v>5</v>
      </c>
      <c r="F108" s="22" t="n">
        <v>4</v>
      </c>
      <c r="G108" s="22" t="n">
        <v>5</v>
      </c>
      <c r="H108" s="22" t="s">
        <v>322</v>
      </c>
      <c r="I108" s="23" t="n">
        <f aca="false">AVERAGE(C108:G108)</f>
        <v>4.6</v>
      </c>
    </row>
    <row r="109" customFormat="false" ht="15" hidden="false" customHeight="false" outlineLevel="0" collapsed="false">
      <c r="A109" s="22" t="n">
        <v>36</v>
      </c>
      <c r="B109" s="22" t="s">
        <v>320</v>
      </c>
      <c r="C109" s="22" t="n">
        <v>2</v>
      </c>
      <c r="D109" s="22" t="n">
        <v>1</v>
      </c>
      <c r="E109" s="22" t="n">
        <v>2</v>
      </c>
      <c r="F109" s="22" t="n">
        <v>2</v>
      </c>
      <c r="G109" s="22" t="n">
        <v>3</v>
      </c>
      <c r="H109" s="22" t="s">
        <v>322</v>
      </c>
      <c r="I109" s="23" t="n">
        <f aca="false">AVERAGE(C109:G109)</f>
        <v>2</v>
      </c>
    </row>
    <row r="110" customFormat="false" ht="15" hidden="false" customHeight="false" outlineLevel="0" collapsed="false">
      <c r="A110" s="22" t="n">
        <v>37</v>
      </c>
      <c r="B110" s="22" t="s">
        <v>317</v>
      </c>
      <c r="C110" s="22" t="n">
        <v>5</v>
      </c>
      <c r="D110" s="22" t="n">
        <v>4</v>
      </c>
      <c r="E110" s="22" t="n">
        <v>5</v>
      </c>
      <c r="F110" s="22" t="n">
        <v>4</v>
      </c>
      <c r="G110" s="22" t="n">
        <v>5</v>
      </c>
      <c r="H110" s="22" t="s">
        <v>322</v>
      </c>
      <c r="I110" s="23" t="n">
        <f aca="false">AVERAGE(C110:G110)</f>
        <v>4.6</v>
      </c>
    </row>
    <row r="111" customFormat="false" ht="15" hidden="false" customHeight="false" outlineLevel="0" collapsed="false">
      <c r="A111" s="22" t="n">
        <v>37</v>
      </c>
      <c r="B111" s="22" t="s">
        <v>319</v>
      </c>
      <c r="C111" s="22" t="n">
        <v>5</v>
      </c>
      <c r="D111" s="22" t="n">
        <v>5</v>
      </c>
      <c r="E111" s="22" t="n">
        <v>5</v>
      </c>
      <c r="F111" s="22" t="n">
        <v>5</v>
      </c>
      <c r="G111" s="22" t="n">
        <v>5</v>
      </c>
      <c r="H111" s="22" t="s">
        <v>322</v>
      </c>
      <c r="I111" s="23" t="n">
        <f aca="false">AVERAGE(C111:G111)</f>
        <v>5</v>
      </c>
    </row>
    <row r="112" customFormat="false" ht="15" hidden="false" customHeight="false" outlineLevel="0" collapsed="false">
      <c r="A112" s="22" t="n">
        <v>37</v>
      </c>
      <c r="B112" s="22" t="s">
        <v>320</v>
      </c>
      <c r="C112" s="22" t="n">
        <v>2</v>
      </c>
      <c r="D112" s="22" t="n">
        <v>1</v>
      </c>
      <c r="E112" s="22" t="n">
        <v>3</v>
      </c>
      <c r="F112" s="22" t="n">
        <v>2</v>
      </c>
      <c r="G112" s="22" t="n">
        <v>3</v>
      </c>
      <c r="H112" s="22" t="s">
        <v>322</v>
      </c>
      <c r="I112" s="23" t="n">
        <f aca="false">AVERAGE(C112:G112)</f>
        <v>2.2</v>
      </c>
    </row>
    <row r="113" customFormat="false" ht="15" hidden="false" customHeight="false" outlineLevel="0" collapsed="false">
      <c r="A113" s="22" t="n">
        <v>38</v>
      </c>
      <c r="B113" s="22" t="s">
        <v>317</v>
      </c>
      <c r="C113" s="22" t="n">
        <v>5</v>
      </c>
      <c r="D113" s="22" t="n">
        <v>4</v>
      </c>
      <c r="E113" s="22" t="n">
        <v>5</v>
      </c>
      <c r="F113" s="22" t="n">
        <v>5</v>
      </c>
      <c r="G113" s="22" t="n">
        <v>5</v>
      </c>
      <c r="H113" s="22" t="s">
        <v>322</v>
      </c>
      <c r="I113" s="23" t="n">
        <f aca="false">AVERAGE(C113:G113)</f>
        <v>4.8</v>
      </c>
    </row>
    <row r="114" customFormat="false" ht="15" hidden="false" customHeight="false" outlineLevel="0" collapsed="false">
      <c r="A114" s="22" t="n">
        <v>38</v>
      </c>
      <c r="B114" s="22" t="s">
        <v>319</v>
      </c>
      <c r="C114" s="22" t="n">
        <v>5</v>
      </c>
      <c r="D114" s="22" t="n">
        <v>5</v>
      </c>
      <c r="E114" s="22" t="n">
        <v>5</v>
      </c>
      <c r="F114" s="22" t="n">
        <v>5</v>
      </c>
      <c r="G114" s="22" t="n">
        <v>5</v>
      </c>
      <c r="H114" s="22" t="s">
        <v>322</v>
      </c>
      <c r="I114" s="23" t="n">
        <f aca="false">AVERAGE(C114:G114)</f>
        <v>5</v>
      </c>
    </row>
    <row r="115" customFormat="false" ht="15" hidden="false" customHeight="false" outlineLevel="0" collapsed="false">
      <c r="A115" s="22" t="n">
        <v>38</v>
      </c>
      <c r="B115" s="22" t="s">
        <v>320</v>
      </c>
      <c r="C115" s="22" t="n">
        <v>2</v>
      </c>
      <c r="D115" s="22" t="n">
        <v>2</v>
      </c>
      <c r="E115" s="22" t="n">
        <v>3</v>
      </c>
      <c r="F115" s="22" t="n">
        <v>3</v>
      </c>
      <c r="G115" s="22" t="n">
        <v>4</v>
      </c>
      <c r="H115" s="22" t="s">
        <v>322</v>
      </c>
      <c r="I115" s="23" t="n">
        <f aca="false">AVERAGE(C115:G115)</f>
        <v>2.8</v>
      </c>
    </row>
    <row r="116" customFormat="false" ht="15" hidden="false" customHeight="false" outlineLevel="0" collapsed="false">
      <c r="A116" s="22" t="n">
        <v>39</v>
      </c>
      <c r="B116" s="22" t="s">
        <v>317</v>
      </c>
      <c r="C116" s="22" t="n">
        <v>5</v>
      </c>
      <c r="D116" s="22" t="n">
        <v>4</v>
      </c>
      <c r="E116" s="22" t="n">
        <v>5</v>
      </c>
      <c r="F116" s="22" t="n">
        <v>4</v>
      </c>
      <c r="G116" s="22" t="n">
        <v>5</v>
      </c>
      <c r="H116" s="22" t="s">
        <v>322</v>
      </c>
      <c r="I116" s="23" t="n">
        <f aca="false">AVERAGE(C116:G116)</f>
        <v>4.6</v>
      </c>
    </row>
    <row r="117" customFormat="false" ht="15" hidden="false" customHeight="false" outlineLevel="0" collapsed="false">
      <c r="A117" s="22" t="n">
        <v>39</v>
      </c>
      <c r="B117" s="22" t="s">
        <v>319</v>
      </c>
      <c r="C117" s="22" t="n">
        <v>5</v>
      </c>
      <c r="D117" s="22" t="n">
        <v>4</v>
      </c>
      <c r="E117" s="22" t="n">
        <v>5</v>
      </c>
      <c r="F117" s="22" t="n">
        <v>4</v>
      </c>
      <c r="G117" s="22" t="n">
        <v>5</v>
      </c>
      <c r="H117" s="22" t="s">
        <v>322</v>
      </c>
      <c r="I117" s="23" t="n">
        <f aca="false">AVERAGE(C117:G117)</f>
        <v>4.6</v>
      </c>
    </row>
    <row r="118" customFormat="false" ht="15" hidden="false" customHeight="false" outlineLevel="0" collapsed="false">
      <c r="A118" s="22" t="n">
        <v>39</v>
      </c>
      <c r="B118" s="22" t="s">
        <v>320</v>
      </c>
      <c r="C118" s="22" t="n">
        <v>2</v>
      </c>
      <c r="D118" s="22" t="n">
        <v>1</v>
      </c>
      <c r="E118" s="22" t="n">
        <v>3</v>
      </c>
      <c r="F118" s="22" t="n">
        <v>2</v>
      </c>
      <c r="G118" s="22" t="n">
        <v>4</v>
      </c>
      <c r="H118" s="22" t="s">
        <v>322</v>
      </c>
      <c r="I118" s="23" t="n">
        <f aca="false">AVERAGE(C118:G118)</f>
        <v>2.4</v>
      </c>
    </row>
    <row r="119" customFormat="false" ht="15" hidden="false" customHeight="false" outlineLevel="0" collapsed="false">
      <c r="A119" s="22" t="n">
        <v>40</v>
      </c>
      <c r="B119" s="22" t="s">
        <v>317</v>
      </c>
      <c r="C119" s="22" t="n">
        <v>3</v>
      </c>
      <c r="D119" s="22" t="n">
        <v>3</v>
      </c>
      <c r="E119" s="22" t="n">
        <v>3</v>
      </c>
      <c r="F119" s="22" t="n">
        <v>3</v>
      </c>
      <c r="G119" s="22" t="n">
        <v>4</v>
      </c>
      <c r="H119" s="22" t="s">
        <v>322</v>
      </c>
      <c r="I119" s="23" t="n">
        <f aca="false">AVERAGE(C119:G119)</f>
        <v>3.2</v>
      </c>
    </row>
    <row r="120" customFormat="false" ht="15" hidden="false" customHeight="false" outlineLevel="0" collapsed="false">
      <c r="A120" s="22" t="n">
        <v>40</v>
      </c>
      <c r="B120" s="22" t="s">
        <v>319</v>
      </c>
      <c r="C120" s="22" t="n">
        <v>5</v>
      </c>
      <c r="D120" s="22" t="n">
        <v>5</v>
      </c>
      <c r="E120" s="22" t="n">
        <v>5</v>
      </c>
      <c r="F120" s="22" t="n">
        <v>5</v>
      </c>
      <c r="G120" s="22" t="n">
        <v>5</v>
      </c>
      <c r="H120" s="22" t="s">
        <v>322</v>
      </c>
      <c r="I120" s="23" t="n">
        <f aca="false">AVERAGE(C120:G120)</f>
        <v>5</v>
      </c>
    </row>
    <row r="121" customFormat="false" ht="15" hidden="false" customHeight="false" outlineLevel="0" collapsed="false">
      <c r="A121" s="22" t="n">
        <v>40</v>
      </c>
      <c r="B121" s="22" t="s">
        <v>320</v>
      </c>
      <c r="C121" s="22" t="n">
        <v>3</v>
      </c>
      <c r="D121" s="22" t="n">
        <v>2</v>
      </c>
      <c r="E121" s="22" t="n">
        <v>4</v>
      </c>
      <c r="F121" s="22" t="n">
        <v>3</v>
      </c>
      <c r="G121" s="22" t="n">
        <v>4</v>
      </c>
      <c r="H121" s="22" t="s">
        <v>322</v>
      </c>
      <c r="I121" s="23" t="n">
        <f aca="false">AVERAGE(C121:G121)</f>
        <v>3.2</v>
      </c>
    </row>
    <row r="122" customFormat="false" ht="15" hidden="false" customHeight="false" outlineLevel="0" collapsed="false">
      <c r="A122" s="22" t="n">
        <v>41</v>
      </c>
      <c r="B122" s="22" t="s">
        <v>317</v>
      </c>
      <c r="C122" s="22" t="n">
        <v>5</v>
      </c>
      <c r="D122" s="22" t="n">
        <v>5</v>
      </c>
      <c r="E122" s="22" t="n">
        <v>5</v>
      </c>
      <c r="F122" s="22" t="n">
        <v>4</v>
      </c>
      <c r="G122" s="22" t="n">
        <v>5</v>
      </c>
      <c r="H122" s="22" t="s">
        <v>322</v>
      </c>
      <c r="I122" s="23" t="n">
        <f aca="false">AVERAGE(C122:G122)</f>
        <v>4.8</v>
      </c>
    </row>
    <row r="123" customFormat="false" ht="15" hidden="false" customHeight="false" outlineLevel="0" collapsed="false">
      <c r="A123" s="22" t="n">
        <v>41</v>
      </c>
      <c r="B123" s="22" t="s">
        <v>319</v>
      </c>
      <c r="C123" s="22" t="n">
        <v>5</v>
      </c>
      <c r="D123" s="22" t="n">
        <v>5</v>
      </c>
      <c r="E123" s="22" t="n">
        <v>5</v>
      </c>
      <c r="F123" s="22" t="n">
        <v>5</v>
      </c>
      <c r="G123" s="22" t="n">
        <v>5</v>
      </c>
      <c r="H123" s="22" t="s">
        <v>322</v>
      </c>
      <c r="I123" s="23" t="n">
        <f aca="false">AVERAGE(C123:G123)</f>
        <v>5</v>
      </c>
    </row>
    <row r="124" customFormat="false" ht="15" hidden="false" customHeight="false" outlineLevel="0" collapsed="false">
      <c r="A124" s="22" t="n">
        <v>41</v>
      </c>
      <c r="B124" s="22" t="s">
        <v>320</v>
      </c>
      <c r="C124" s="22" t="n">
        <v>2</v>
      </c>
      <c r="D124" s="22" t="n">
        <v>1</v>
      </c>
      <c r="E124" s="22" t="n">
        <v>3</v>
      </c>
      <c r="F124" s="22" t="n">
        <v>2</v>
      </c>
      <c r="G124" s="22" t="n">
        <v>3</v>
      </c>
      <c r="H124" s="22" t="s">
        <v>322</v>
      </c>
      <c r="I124" s="23" t="n">
        <f aca="false">AVERAGE(C124:G124)</f>
        <v>2.2</v>
      </c>
    </row>
    <row r="125" customFormat="false" ht="15" hidden="false" customHeight="false" outlineLevel="0" collapsed="false">
      <c r="A125" s="22" t="n">
        <v>42</v>
      </c>
      <c r="B125" s="22" t="s">
        <v>317</v>
      </c>
      <c r="C125" s="22" t="n">
        <v>5</v>
      </c>
      <c r="D125" s="22" t="n">
        <v>4</v>
      </c>
      <c r="E125" s="22" t="n">
        <v>5</v>
      </c>
      <c r="F125" s="22" t="n">
        <v>4</v>
      </c>
      <c r="G125" s="22" t="n">
        <v>5</v>
      </c>
      <c r="H125" s="22" t="s">
        <v>322</v>
      </c>
      <c r="I125" s="23" t="n">
        <f aca="false">AVERAGE(C125:G125)</f>
        <v>4.6</v>
      </c>
    </row>
    <row r="126" customFormat="false" ht="15" hidden="false" customHeight="false" outlineLevel="0" collapsed="false">
      <c r="A126" s="22" t="n">
        <v>42</v>
      </c>
      <c r="B126" s="22" t="s">
        <v>319</v>
      </c>
      <c r="C126" s="22" t="n">
        <v>5</v>
      </c>
      <c r="D126" s="22" t="n">
        <v>5</v>
      </c>
      <c r="E126" s="22" t="n">
        <v>5</v>
      </c>
      <c r="F126" s="22" t="n">
        <v>4</v>
      </c>
      <c r="G126" s="22" t="n">
        <v>5</v>
      </c>
      <c r="H126" s="22" t="s">
        <v>322</v>
      </c>
      <c r="I126" s="23" t="n">
        <f aca="false">AVERAGE(C126:G126)</f>
        <v>4.8</v>
      </c>
    </row>
    <row r="127" customFormat="false" ht="15" hidden="false" customHeight="false" outlineLevel="0" collapsed="false">
      <c r="A127" s="22" t="n">
        <v>42</v>
      </c>
      <c r="B127" s="22" t="s">
        <v>320</v>
      </c>
      <c r="C127" s="22" t="n">
        <v>4</v>
      </c>
      <c r="D127" s="22" t="n">
        <v>3</v>
      </c>
      <c r="E127" s="22" t="n">
        <v>4</v>
      </c>
      <c r="F127" s="22" t="n">
        <v>3</v>
      </c>
      <c r="G127" s="22" t="n">
        <v>4</v>
      </c>
      <c r="H127" s="22" t="s">
        <v>322</v>
      </c>
      <c r="I127" s="23" t="n">
        <f aca="false">AVERAGE(C127:G127)</f>
        <v>3.6</v>
      </c>
    </row>
    <row r="128" customFormat="false" ht="15" hidden="false" customHeight="false" outlineLevel="0" collapsed="false">
      <c r="A128" s="22" t="n">
        <v>43</v>
      </c>
      <c r="B128" s="22" t="s">
        <v>317</v>
      </c>
      <c r="C128" s="22" t="n">
        <v>3</v>
      </c>
      <c r="D128" s="22" t="n">
        <v>2</v>
      </c>
      <c r="E128" s="22" t="n">
        <v>3</v>
      </c>
      <c r="F128" s="22" t="n">
        <v>3</v>
      </c>
      <c r="G128" s="22" t="n">
        <v>4</v>
      </c>
      <c r="H128" s="22" t="s">
        <v>322</v>
      </c>
      <c r="I128" s="23" t="n">
        <f aca="false">AVERAGE(C128:G128)</f>
        <v>3</v>
      </c>
    </row>
    <row r="129" customFormat="false" ht="15" hidden="false" customHeight="false" outlineLevel="0" collapsed="false">
      <c r="A129" s="22" t="n">
        <v>43</v>
      </c>
      <c r="B129" s="22" t="s">
        <v>319</v>
      </c>
      <c r="C129" s="22" t="n">
        <v>4</v>
      </c>
      <c r="D129" s="22" t="n">
        <v>4</v>
      </c>
      <c r="E129" s="22" t="n">
        <v>4</v>
      </c>
      <c r="F129" s="22" t="n">
        <v>4</v>
      </c>
      <c r="G129" s="22" t="n">
        <v>4</v>
      </c>
      <c r="H129" s="22" t="s">
        <v>322</v>
      </c>
      <c r="I129" s="23" t="n">
        <f aca="false">AVERAGE(C129:G129)</f>
        <v>4</v>
      </c>
    </row>
    <row r="130" customFormat="false" ht="15" hidden="false" customHeight="false" outlineLevel="0" collapsed="false">
      <c r="A130" s="22" t="n">
        <v>43</v>
      </c>
      <c r="B130" s="22" t="s">
        <v>320</v>
      </c>
      <c r="C130" s="22" t="n">
        <v>2</v>
      </c>
      <c r="D130" s="22" t="n">
        <v>1</v>
      </c>
      <c r="E130" s="22" t="n">
        <v>3</v>
      </c>
      <c r="F130" s="22" t="n">
        <v>2</v>
      </c>
      <c r="G130" s="22" t="n">
        <v>4</v>
      </c>
      <c r="H130" s="22" t="s">
        <v>322</v>
      </c>
      <c r="I130" s="23" t="n">
        <f aca="false">AVERAGE(C130:G130)</f>
        <v>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2026-07-09T10:14:15Z</dcterms:created>
  <dc:creator>openpyxl</dc:creator>
  <dc:description/>
  <dc:language>en-US</dc:language>
  <cp:lastModifiedBy/>
  <dcterms:modified xsi:type="dcterms:W3CDTF">2026-07-09T10:14:15Z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